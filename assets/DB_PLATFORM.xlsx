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rdaJ\Documents\SAMPLES_PYTHON\LACOLORADA\APP\assets\"/>
    </mc:Choice>
  </mc:AlternateContent>
  <xr:revisionPtr revIDLastSave="0" documentId="13_ncr:1_{C874FD0D-3E2A-4470-9524-930E27F5C28C}" xr6:coauthVersionLast="47" xr6:coauthVersionMax="47" xr10:uidLastSave="{00000000-0000-0000-0000-000000000000}"/>
  <bookViews>
    <workbookView xWindow="-120" yWindow="-120" windowWidth="29040" windowHeight="15720" activeTab="4" xr2:uid="{62A51EB5-1D36-4B48-9DA4-E2C863E70EC6}"/>
  </bookViews>
  <sheets>
    <sheet name="WTG" sheetId="1" r:id="rId1"/>
    <sheet name="POWER MW" sheetId="2" r:id="rId2"/>
    <sheet name="TRANSFORM" sheetId="8" r:id="rId3"/>
    <sheet name="DIAMETER_BLADE" sheetId="9" r:id="rId4"/>
    <sheet name="PLATFORM" sheetId="7" r:id="rId5"/>
  </sheets>
  <definedNames>
    <definedName name="_xlnm._FilterDatabase" localSheetId="0" hidden="1">WTG!$B$1:$B$52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47" i="7" l="1"/>
  <c r="BB47" i="7"/>
  <c r="BA47" i="7"/>
  <c r="AZ47" i="7"/>
  <c r="AY47" i="7"/>
  <c r="AW47" i="7"/>
  <c r="AV47" i="7"/>
  <c r="AX47" i="7"/>
  <c r="AU47" i="7"/>
  <c r="AX46" i="7"/>
  <c r="AW46" i="7"/>
  <c r="AV46" i="7"/>
  <c r="AU46" i="7"/>
  <c r="AX45" i="7"/>
  <c r="AW45" i="7"/>
  <c r="AV45" i="7"/>
  <c r="AU45" i="7"/>
  <c r="AX44" i="7"/>
  <c r="AW44" i="7"/>
  <c r="AV44" i="7"/>
  <c r="AU44" i="7"/>
  <c r="AX43" i="7"/>
  <c r="AW43" i="7"/>
  <c r="AV43" i="7"/>
  <c r="AU43" i="7"/>
  <c r="AX42" i="7"/>
  <c r="AW42" i="7"/>
  <c r="AV42" i="7"/>
  <c r="AU42" i="7"/>
  <c r="AX41" i="7"/>
  <c r="AW41" i="7"/>
  <c r="AV41" i="7"/>
  <c r="AU41" i="7"/>
  <c r="AX40" i="7"/>
  <c r="AW40" i="7"/>
  <c r="AV40" i="7"/>
  <c r="AU40" i="7"/>
  <c r="AX39" i="7"/>
  <c r="AW39" i="7"/>
  <c r="AV39" i="7"/>
  <c r="AU39" i="7"/>
  <c r="AX38" i="7"/>
  <c r="AW38" i="7"/>
  <c r="AV38" i="7"/>
  <c r="AU38" i="7"/>
  <c r="AX37" i="7"/>
  <c r="AW37" i="7"/>
  <c r="AV37" i="7"/>
  <c r="AU37" i="7"/>
  <c r="AX36" i="7"/>
  <c r="AW36" i="7"/>
  <c r="AV36" i="7"/>
  <c r="AU36" i="7"/>
  <c r="AX28" i="7"/>
  <c r="AW28" i="7"/>
  <c r="AV28" i="7"/>
  <c r="AU28" i="7"/>
  <c r="AX27" i="7"/>
  <c r="AW27" i="7"/>
  <c r="AV27" i="7"/>
  <c r="AU27" i="7"/>
  <c r="AX26" i="7"/>
  <c r="AW26" i="7"/>
  <c r="AV26" i="7"/>
  <c r="AU26" i="7"/>
  <c r="AX25" i="7"/>
  <c r="AW25" i="7"/>
  <c r="AV25" i="7"/>
  <c r="AU25" i="7"/>
  <c r="AX24" i="7"/>
  <c r="AW24" i="7"/>
  <c r="AV24" i="7"/>
  <c r="AU24" i="7"/>
  <c r="AX23" i="7"/>
  <c r="AW23" i="7"/>
  <c r="AV23" i="7"/>
  <c r="AU23" i="7"/>
  <c r="AX22" i="7"/>
  <c r="AW22" i="7"/>
  <c r="AV22" i="7"/>
  <c r="AU22" i="7"/>
  <c r="AX21" i="7"/>
  <c r="AW21" i="7"/>
  <c r="AV21" i="7"/>
  <c r="AU21" i="7"/>
  <c r="AX20" i="7"/>
  <c r="AW20" i="7"/>
  <c r="AV20" i="7"/>
  <c r="AU20" i="7"/>
  <c r="AX19" i="7"/>
  <c r="AW19" i="7"/>
  <c r="AV19" i="7"/>
  <c r="AU19" i="7"/>
  <c r="AX18" i="7"/>
  <c r="AW18" i="7"/>
  <c r="AV18" i="7"/>
  <c r="AU18" i="7"/>
  <c r="AX17" i="7"/>
  <c r="AW17" i="7"/>
  <c r="AV17" i="7"/>
  <c r="AU17" i="7"/>
  <c r="AX16" i="7"/>
  <c r="AW16" i="7"/>
  <c r="AV16" i="7"/>
  <c r="AU16" i="7"/>
  <c r="AX15" i="7"/>
  <c r="AW15" i="7"/>
  <c r="AV15" i="7"/>
  <c r="AU15" i="7"/>
  <c r="AX14" i="7"/>
  <c r="AW14" i="7"/>
  <c r="AV14" i="7"/>
  <c r="AU14" i="7"/>
  <c r="AX13" i="7"/>
  <c r="AW13" i="7"/>
  <c r="AV13" i="7"/>
  <c r="AU13" i="7"/>
  <c r="AX12" i="7"/>
  <c r="AW12" i="7"/>
  <c r="AV12" i="7"/>
  <c r="AU12" i="7"/>
  <c r="AX11" i="7"/>
  <c r="AW11" i="7"/>
  <c r="AV11" i="7"/>
  <c r="AU11" i="7"/>
  <c r="AX10" i="7"/>
  <c r="AW10" i="7"/>
  <c r="AV10" i="7"/>
  <c r="AU10" i="7"/>
  <c r="AX9" i="7"/>
  <c r="AW9" i="7"/>
  <c r="AV9" i="7"/>
  <c r="AU9" i="7"/>
  <c r="AX8" i="7"/>
  <c r="AW8" i="7"/>
  <c r="AV8" i="7"/>
  <c r="AU8" i="7"/>
  <c r="AX7" i="7"/>
  <c r="AW7" i="7"/>
  <c r="AV7" i="7"/>
  <c r="AU7" i="7"/>
  <c r="AX6" i="7"/>
  <c r="AW6" i="7"/>
  <c r="AV6" i="7"/>
  <c r="AU6" i="7"/>
  <c r="AX5" i="7"/>
  <c r="AW5" i="7"/>
  <c r="AV5" i="7"/>
  <c r="AU5" i="7"/>
  <c r="AX4" i="7"/>
  <c r="AW4" i="7"/>
  <c r="AV4" i="7"/>
  <c r="AU4" i="7"/>
  <c r="AX3" i="7"/>
  <c r="AW3" i="7"/>
  <c r="AV3" i="7"/>
  <c r="AU3" i="7"/>
  <c r="AX35" i="7"/>
  <c r="AW35" i="7"/>
  <c r="AV35" i="7"/>
  <c r="AU35" i="7"/>
  <c r="AX34" i="7"/>
  <c r="AW34" i="7"/>
  <c r="AV34" i="7"/>
  <c r="AU34" i="7"/>
  <c r="AX33" i="7"/>
  <c r="AW33" i="7"/>
  <c r="AV33" i="7"/>
  <c r="AU33" i="7"/>
  <c r="AX32" i="7"/>
  <c r="AW32" i="7"/>
  <c r="AV32" i="7"/>
  <c r="AU32" i="7"/>
  <c r="AX31" i="7"/>
  <c r="AW31" i="7"/>
  <c r="AV31" i="7"/>
  <c r="AU31" i="7"/>
  <c r="AX30" i="7"/>
  <c r="AW30" i="7"/>
  <c r="AV30" i="7"/>
  <c r="AU30" i="7"/>
  <c r="AX29" i="7"/>
  <c r="AW29" i="7"/>
  <c r="AV29" i="7"/>
  <c r="AU29" i="7"/>
  <c r="AT45" i="7"/>
  <c r="BC45" i="7"/>
  <c r="BB45" i="7"/>
  <c r="BA45" i="7"/>
  <c r="AZ45" i="7"/>
  <c r="AY45" i="7"/>
  <c r="E19" i="2"/>
  <c r="E18" i="2"/>
  <c r="AY31" i="7"/>
  <c r="AZ31" i="7"/>
  <c r="BA31" i="7"/>
  <c r="BB31" i="7"/>
  <c r="BC31" i="7"/>
  <c r="BD31" i="7"/>
  <c r="AY32" i="7"/>
  <c r="AZ32" i="7"/>
  <c r="BA32" i="7"/>
  <c r="BB32" i="7"/>
  <c r="BC32" i="7"/>
  <c r="BD32" i="7"/>
  <c r="AY33" i="7"/>
  <c r="AZ33" i="7"/>
  <c r="BA33" i="7"/>
  <c r="BB33" i="7"/>
  <c r="BC33" i="7"/>
  <c r="BD33" i="7"/>
  <c r="AY34" i="7"/>
  <c r="AZ34" i="7"/>
  <c r="BA34" i="7"/>
  <c r="BB34" i="7"/>
  <c r="BC34" i="7"/>
  <c r="BD34" i="7"/>
  <c r="AY35" i="7"/>
  <c r="AZ35" i="7"/>
  <c r="BA35" i="7"/>
  <c r="BB35" i="7"/>
  <c r="BC35" i="7"/>
  <c r="BD35" i="7"/>
  <c r="AY36" i="7"/>
  <c r="AZ36" i="7"/>
  <c r="BA36" i="7"/>
  <c r="BB36" i="7"/>
  <c r="BC36" i="7"/>
  <c r="BD36" i="7"/>
  <c r="AY37" i="7"/>
  <c r="AZ37" i="7"/>
  <c r="BA37" i="7"/>
  <c r="BB37" i="7"/>
  <c r="BC37" i="7"/>
  <c r="BD37" i="7"/>
  <c r="AY38" i="7"/>
  <c r="AZ38" i="7"/>
  <c r="BA38" i="7"/>
  <c r="BB38" i="7"/>
  <c r="BC38" i="7"/>
  <c r="BD38" i="7"/>
  <c r="AY39" i="7"/>
  <c r="AZ39" i="7"/>
  <c r="BA39" i="7"/>
  <c r="BB39" i="7"/>
  <c r="BC39" i="7"/>
  <c r="BD39" i="7"/>
  <c r="AY40" i="7"/>
  <c r="AZ40" i="7"/>
  <c r="BA40" i="7"/>
  <c r="BB40" i="7"/>
  <c r="BC40" i="7"/>
  <c r="BD40" i="7"/>
  <c r="AY41" i="7"/>
  <c r="AZ41" i="7"/>
  <c r="BA41" i="7"/>
  <c r="BB41" i="7"/>
  <c r="BC41" i="7"/>
  <c r="BD41" i="7"/>
  <c r="AY42" i="7"/>
  <c r="AZ42" i="7"/>
  <c r="BA42" i="7"/>
  <c r="BB42" i="7"/>
  <c r="BC42" i="7"/>
  <c r="BD42" i="7"/>
  <c r="AY43" i="7"/>
  <c r="AZ43" i="7"/>
  <c r="BA43" i="7"/>
  <c r="BB43" i="7"/>
  <c r="BC43" i="7"/>
  <c r="BD43" i="7"/>
  <c r="AY44" i="7"/>
  <c r="AZ44" i="7"/>
  <c r="BA44" i="7"/>
  <c r="BB44" i="7"/>
  <c r="BC44" i="7"/>
  <c r="BD44" i="7"/>
  <c r="AY46" i="7"/>
  <c r="AZ46" i="7"/>
  <c r="BA46" i="7"/>
  <c r="BB46" i="7"/>
  <c r="BC46" i="7"/>
  <c r="BD46" i="7"/>
  <c r="AY3" i="7"/>
  <c r="AZ3" i="7"/>
  <c r="BA3" i="7"/>
  <c r="BB3" i="7"/>
  <c r="BC3" i="7"/>
  <c r="BD3" i="7"/>
  <c r="AY4" i="7"/>
  <c r="AZ4" i="7"/>
  <c r="BA4" i="7"/>
  <c r="BB4" i="7"/>
  <c r="BC4" i="7"/>
  <c r="BD4" i="7"/>
  <c r="AY5" i="7"/>
  <c r="AZ5" i="7"/>
  <c r="BA5" i="7"/>
  <c r="BB5" i="7"/>
  <c r="BC5" i="7"/>
  <c r="BD5" i="7"/>
  <c r="AY6" i="7"/>
  <c r="AZ6" i="7"/>
  <c r="BA6" i="7"/>
  <c r="BB6" i="7"/>
  <c r="BC6" i="7"/>
  <c r="BD6" i="7"/>
  <c r="AY7" i="7"/>
  <c r="AZ7" i="7"/>
  <c r="BA7" i="7"/>
  <c r="BB7" i="7"/>
  <c r="BC7" i="7"/>
  <c r="BD7" i="7"/>
  <c r="AY8" i="7"/>
  <c r="AZ8" i="7"/>
  <c r="BA8" i="7"/>
  <c r="BB8" i="7"/>
  <c r="BC8" i="7"/>
  <c r="BD8" i="7"/>
  <c r="AY9" i="7"/>
  <c r="AZ9" i="7"/>
  <c r="BA9" i="7"/>
  <c r="BB9" i="7"/>
  <c r="BC9" i="7"/>
  <c r="BD9" i="7"/>
  <c r="AY10" i="7"/>
  <c r="AZ10" i="7"/>
  <c r="BA10" i="7"/>
  <c r="BB10" i="7"/>
  <c r="BC10" i="7"/>
  <c r="BD10" i="7"/>
  <c r="AY11" i="7"/>
  <c r="AZ11" i="7"/>
  <c r="BA11" i="7"/>
  <c r="BB11" i="7"/>
  <c r="BC11" i="7"/>
  <c r="BD11" i="7"/>
  <c r="AY12" i="7"/>
  <c r="AZ12" i="7"/>
  <c r="BA12" i="7"/>
  <c r="BB12" i="7"/>
  <c r="BC12" i="7"/>
  <c r="BD12" i="7"/>
  <c r="AY13" i="7"/>
  <c r="AZ13" i="7"/>
  <c r="BA13" i="7"/>
  <c r="BB13" i="7"/>
  <c r="BC13" i="7"/>
  <c r="BD13" i="7"/>
  <c r="AY14" i="7"/>
  <c r="AZ14" i="7"/>
  <c r="BA14" i="7"/>
  <c r="BB14" i="7"/>
  <c r="BC14" i="7"/>
  <c r="BD14" i="7"/>
  <c r="AY15" i="7"/>
  <c r="AZ15" i="7"/>
  <c r="BA15" i="7"/>
  <c r="BB15" i="7"/>
  <c r="BC15" i="7"/>
  <c r="BD15" i="7"/>
  <c r="AY16" i="7"/>
  <c r="AZ16" i="7"/>
  <c r="BA16" i="7"/>
  <c r="BB16" i="7"/>
  <c r="BC16" i="7"/>
  <c r="BD16" i="7"/>
  <c r="AY17" i="7"/>
  <c r="AZ17" i="7"/>
  <c r="BA17" i="7"/>
  <c r="BB17" i="7"/>
  <c r="BC17" i="7"/>
  <c r="BD17" i="7"/>
  <c r="AY18" i="7"/>
  <c r="AZ18" i="7"/>
  <c r="BA18" i="7"/>
  <c r="BB18" i="7"/>
  <c r="BC18" i="7"/>
  <c r="BD18" i="7"/>
  <c r="AY19" i="7"/>
  <c r="AZ19" i="7"/>
  <c r="BA19" i="7"/>
  <c r="BB19" i="7"/>
  <c r="BC19" i="7"/>
  <c r="BD19" i="7"/>
  <c r="AY20" i="7"/>
  <c r="AZ20" i="7"/>
  <c r="BA20" i="7"/>
  <c r="BB20" i="7"/>
  <c r="BC20" i="7"/>
  <c r="BD20" i="7"/>
  <c r="AY21" i="7"/>
  <c r="AZ21" i="7"/>
  <c r="BA21" i="7"/>
  <c r="BB21" i="7"/>
  <c r="BC21" i="7"/>
  <c r="BD21" i="7"/>
  <c r="AY22" i="7"/>
  <c r="AZ22" i="7"/>
  <c r="BA22" i="7"/>
  <c r="BB22" i="7"/>
  <c r="BC22" i="7"/>
  <c r="BD22" i="7"/>
  <c r="AY23" i="7"/>
  <c r="AZ23" i="7"/>
  <c r="BA23" i="7"/>
  <c r="BB23" i="7"/>
  <c r="BC23" i="7"/>
  <c r="BD23" i="7"/>
  <c r="AY24" i="7"/>
  <c r="AZ24" i="7"/>
  <c r="BA24" i="7"/>
  <c r="BB24" i="7"/>
  <c r="BC24" i="7"/>
  <c r="BD24" i="7"/>
  <c r="AY25" i="7"/>
  <c r="AZ25" i="7"/>
  <c r="BA25" i="7"/>
  <c r="BB25" i="7"/>
  <c r="BC25" i="7"/>
  <c r="BD25" i="7"/>
  <c r="AY26" i="7"/>
  <c r="AZ26" i="7"/>
  <c r="BA26" i="7"/>
  <c r="BB26" i="7"/>
  <c r="BC26" i="7"/>
  <c r="BD26" i="7"/>
  <c r="AY27" i="7"/>
  <c r="AZ27" i="7"/>
  <c r="BA27" i="7"/>
  <c r="BB27" i="7"/>
  <c r="BC27" i="7"/>
  <c r="BD27" i="7"/>
  <c r="AY28" i="7"/>
  <c r="AZ28" i="7"/>
  <c r="BA28" i="7"/>
  <c r="BB28" i="7"/>
  <c r="BC28" i="7"/>
  <c r="BD28" i="7"/>
  <c r="AY29" i="7"/>
  <c r="AZ29" i="7"/>
  <c r="BA29" i="7"/>
  <c r="BB29" i="7"/>
  <c r="BC29" i="7"/>
  <c r="BD29" i="7"/>
  <c r="AY30" i="7"/>
  <c r="AZ30" i="7"/>
  <c r="BA30" i="7"/>
  <c r="BB30" i="7"/>
  <c r="BC30" i="7"/>
  <c r="BD30" i="7"/>
  <c r="BE31" i="7" l="1"/>
  <c r="BE35" i="7"/>
  <c r="BE33" i="7"/>
  <c r="BE46" i="7"/>
  <c r="BE43" i="7"/>
  <c r="BE42" i="7"/>
  <c r="BE40" i="7"/>
  <c r="BE38" i="7"/>
  <c r="BE36" i="7"/>
  <c r="BE34" i="7"/>
  <c r="BE27" i="7"/>
  <c r="BE32" i="7"/>
  <c r="BE41" i="7"/>
  <c r="BE39" i="7"/>
  <c r="BE37" i="7"/>
  <c r="BE7" i="7"/>
  <c r="BE44" i="7"/>
  <c r="BE22" i="7"/>
  <c r="BE14" i="7"/>
  <c r="BE12" i="7"/>
  <c r="BE5" i="7"/>
  <c r="BE3" i="7"/>
  <c r="BE10" i="7"/>
  <c r="BE23" i="7"/>
  <c r="BE21" i="7"/>
  <c r="BE19" i="7"/>
  <c r="BE17" i="7"/>
  <c r="BE15" i="7"/>
  <c r="BE8" i="7"/>
  <c r="BE26" i="7"/>
  <c r="BE24" i="7"/>
  <c r="BE30" i="7"/>
  <c r="BE4" i="7"/>
  <c r="BE18" i="7"/>
  <c r="BE6" i="7"/>
  <c r="BE28" i="7"/>
  <c r="BE29" i="7"/>
  <c r="BE13" i="7"/>
  <c r="BE11" i="7"/>
  <c r="BE20" i="7"/>
  <c r="BE9" i="7"/>
  <c r="BE16" i="7"/>
  <c r="BE25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16" i="9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" i="2"/>
  <c r="A5" i="2"/>
  <c r="A6" i="2"/>
  <c r="A7" i="2"/>
  <c r="A8" i="2"/>
  <c r="A9" i="2"/>
  <c r="A10" i="2"/>
  <c r="A11" i="2"/>
  <c r="A12" i="2"/>
  <c r="A13" i="2"/>
  <c r="A14" i="2"/>
  <c r="A15" i="2"/>
  <c r="A3" i="2"/>
  <c r="E40" i="2" l="1"/>
  <c r="E39" i="2"/>
  <c r="E38" i="2"/>
  <c r="E37" i="2"/>
  <c r="E36" i="2"/>
  <c r="B15" i="8"/>
  <c r="A15" i="8" s="1"/>
  <c r="B15" i="9"/>
  <c r="A15" i="9" s="1"/>
  <c r="E17" i="2"/>
  <c r="E16" i="2"/>
  <c r="E15" i="2"/>
  <c r="E14" i="2"/>
  <c r="E13" i="2"/>
  <c r="E12" i="2"/>
  <c r="E11" i="2"/>
  <c r="E10" i="2"/>
  <c r="E9" i="2"/>
  <c r="E8" i="2"/>
  <c r="E7" i="2"/>
  <c r="E6" i="2"/>
  <c r="E23" i="2"/>
  <c r="E21" i="2"/>
  <c r="E22" i="2"/>
  <c r="E31" i="2"/>
  <c r="E30" i="2"/>
  <c r="E29" i="2"/>
  <c r="E28" i="2"/>
  <c r="E27" i="2"/>
  <c r="E26" i="2"/>
  <c r="E25" i="2"/>
  <c r="E33" i="2"/>
  <c r="E3" i="2"/>
  <c r="E4" i="2"/>
  <c r="E5" i="2"/>
  <c r="E20" i="2"/>
  <c r="E24" i="2"/>
  <c r="E32" i="2"/>
  <c r="E35" i="2"/>
  <c r="E34" i="2"/>
  <c r="B4" i="9"/>
  <c r="A4" i="9" s="1"/>
  <c r="B5" i="9"/>
  <c r="A5" i="9" s="1"/>
  <c r="B6" i="9"/>
  <c r="A6" i="9" s="1"/>
  <c r="B7" i="9"/>
  <c r="A7" i="9" s="1"/>
  <c r="B8" i="9"/>
  <c r="A8" i="9" s="1"/>
  <c r="B9" i="9"/>
  <c r="A9" i="9" s="1"/>
  <c r="B10" i="9"/>
  <c r="A10" i="9" s="1"/>
  <c r="B11" i="9"/>
  <c r="A11" i="9" s="1"/>
  <c r="B12" i="9"/>
  <c r="A12" i="9" s="1"/>
  <c r="B13" i="9"/>
  <c r="A13" i="9" s="1"/>
  <c r="B14" i="9"/>
  <c r="A14" i="9" s="1"/>
  <c r="B3" i="9"/>
  <c r="A3" i="9" s="1"/>
  <c r="B11" i="8"/>
  <c r="A11" i="8" s="1"/>
  <c r="B12" i="8"/>
  <c r="A12" i="8" s="1"/>
  <c r="B13" i="8"/>
  <c r="A13" i="8" s="1"/>
  <c r="B14" i="8"/>
  <c r="A14" i="8" s="1"/>
  <c r="B4" i="8"/>
  <c r="A4" i="8" s="1"/>
  <c r="B5" i="8"/>
  <c r="A5" i="8" s="1"/>
  <c r="B6" i="8"/>
  <c r="A6" i="8" s="1"/>
  <c r="B7" i="8"/>
  <c r="A7" i="8" s="1"/>
  <c r="B8" i="8"/>
  <c r="A8" i="8" s="1"/>
  <c r="B9" i="8"/>
  <c r="A9" i="8" s="1"/>
  <c r="B10" i="8"/>
  <c r="A10" i="8" s="1"/>
  <c r="B3" i="8"/>
  <c r="A3" i="8" s="1"/>
  <c r="A4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5" i="1" l="1"/>
  <c r="A6" i="1" l="1"/>
  <c r="A7" i="1" l="1"/>
  <c r="A8" i="1" l="1"/>
  <c r="A9" i="1" l="1"/>
  <c r="A10" i="1" l="1"/>
  <c r="A11" i="1" l="1"/>
  <c r="A12" i="1" l="1"/>
  <c r="A13" i="1" l="1"/>
  <c r="A14" i="1" l="1"/>
</calcChain>
</file>

<file path=xl/sharedStrings.xml><?xml version="1.0" encoding="utf-8"?>
<sst xmlns="http://schemas.openxmlformats.org/spreadsheetml/2006/main" count="325" uniqueCount="104">
  <si>
    <t>x</t>
  </si>
  <si>
    <t>y</t>
  </si>
  <si>
    <t>Id</t>
  </si>
  <si>
    <t>WTG Model</t>
  </si>
  <si>
    <t>N131/3600</t>
  </si>
  <si>
    <t>N131/3000</t>
  </si>
  <si>
    <t>TS99</t>
  </si>
  <si>
    <t>TS84</t>
  </si>
  <si>
    <t>TS106</t>
  </si>
  <si>
    <t>TS114</t>
  </si>
  <si>
    <t>TS120</t>
  </si>
  <si>
    <t>TS134</t>
  </si>
  <si>
    <t>TCS134</t>
  </si>
  <si>
    <t>X</t>
  </si>
  <si>
    <t>N131/3900</t>
  </si>
  <si>
    <t>TS78</t>
  </si>
  <si>
    <t>TS83</t>
  </si>
  <si>
    <t>TS90-00</t>
  </si>
  <si>
    <t>TS110</t>
  </si>
  <si>
    <t>TS125-02</t>
  </si>
  <si>
    <t>TS135</t>
  </si>
  <si>
    <t>TCS164</t>
  </si>
  <si>
    <t>N149/4.5</t>
  </si>
  <si>
    <t>TS105</t>
  </si>
  <si>
    <t>TS108</t>
  </si>
  <si>
    <t>TS125-01</t>
  </si>
  <si>
    <t>TS145-01</t>
  </si>
  <si>
    <t>TS155</t>
  </si>
  <si>
    <t>N149/4.8</t>
  </si>
  <si>
    <t>N149/5</t>
  </si>
  <si>
    <t>N149/5.X</t>
  </si>
  <si>
    <t>TS100-00</t>
  </si>
  <si>
    <t>TS105-01</t>
  </si>
  <si>
    <t>TS108-05</t>
  </si>
  <si>
    <t>TS125-04</t>
  </si>
  <si>
    <t>TS135-01</t>
  </si>
  <si>
    <t>TS155-02</t>
  </si>
  <si>
    <t>TC120N</t>
  </si>
  <si>
    <t>N163/5.X</t>
  </si>
  <si>
    <t>TS118-00</t>
  </si>
  <si>
    <t>TS148-00</t>
  </si>
  <si>
    <t>TS159-00</t>
  </si>
  <si>
    <t>TCS164B</t>
  </si>
  <si>
    <t>TCS168N</t>
  </si>
  <si>
    <t>N163/6.X</t>
  </si>
  <si>
    <t>TS118-03</t>
  </si>
  <si>
    <t>TS138</t>
  </si>
  <si>
    <t>TS148-01</t>
  </si>
  <si>
    <t>TS159-01</t>
  </si>
  <si>
    <t>N175/6.X</t>
  </si>
  <si>
    <t>TS112</t>
  </si>
  <si>
    <t>TS142-00</t>
  </si>
  <si>
    <t>TCS179-00</t>
  </si>
  <si>
    <t>Power(MW)</t>
  </si>
  <si>
    <t>N133/4.8</t>
  </si>
  <si>
    <t>N149/4.0</t>
  </si>
  <si>
    <t>N155/5.X</t>
  </si>
  <si>
    <t>TCS164N</t>
  </si>
  <si>
    <t>TS105-04</t>
  </si>
  <si>
    <t>TS108-04</t>
  </si>
  <si>
    <t>TC100N</t>
  </si>
  <si>
    <t>N155/4.X</t>
  </si>
  <si>
    <t>ROAD PAD</t>
  </si>
  <si>
    <t>x1</t>
  </si>
  <si>
    <t>y1</t>
  </si>
  <si>
    <t>x2</t>
  </si>
  <si>
    <t>y2</t>
  </si>
  <si>
    <t>entry</t>
  </si>
  <si>
    <t>out</t>
  </si>
  <si>
    <t>x center</t>
  </si>
  <si>
    <t>y center</t>
  </si>
  <si>
    <t>radio</t>
  </si>
  <si>
    <t>Preassembly 1</t>
  </si>
  <si>
    <t>S(MVA)</t>
  </si>
  <si>
    <t>Q(VAR)</t>
  </si>
  <si>
    <t>Id-WTG</t>
  </si>
  <si>
    <t>NLL (KW)</t>
  </si>
  <si>
    <t>SCL (kW)</t>
  </si>
  <si>
    <t>frequency 50hz</t>
  </si>
  <si>
    <t>Frecquency 60hz</t>
  </si>
  <si>
    <t>Powe Transformer (kVA)</t>
  </si>
  <si>
    <t>ID Platform</t>
  </si>
  <si>
    <t>Diemeter rotor(m)</t>
  </si>
  <si>
    <t>Area Road Pad</t>
  </si>
  <si>
    <t>Area Crane Bon Pad</t>
  </si>
  <si>
    <t>CRANE BOOM PAD</t>
  </si>
  <si>
    <t>BLADES PAD</t>
  </si>
  <si>
    <t>Wide road</t>
  </si>
  <si>
    <t>Area Blades Pad</t>
  </si>
  <si>
    <t>Area Road Extension</t>
  </si>
  <si>
    <t>Area Crane Pad</t>
  </si>
  <si>
    <t>Area Preassembly</t>
  </si>
  <si>
    <t>Preassembly 2</t>
  </si>
  <si>
    <t>Preassembly 3</t>
  </si>
  <si>
    <t>Preassembly 4</t>
  </si>
  <si>
    <t>Preassembly 5</t>
  </si>
  <si>
    <t>Preassembly 6</t>
  </si>
  <si>
    <t>ROAD EXTENSION</t>
  </si>
  <si>
    <t>CRANE PAD 1</t>
  </si>
  <si>
    <t>CRANE PAD 2</t>
  </si>
  <si>
    <t>Diameter</t>
  </si>
  <si>
    <t>Total area Platform</t>
  </si>
  <si>
    <t>TS119</t>
  </si>
  <si>
    <t>TS108-07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</si>
</sst>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3" xfId="0" applyBorder="1"/>
    <xf numFmtId="0" fontId="0" fillId="4" borderId="4" xfId="0" applyFill="1" applyBorder="1"/>
    <xf numFmtId="0" fontId="0" fillId="0" borderId="5" xfId="0" applyBorder="1"/>
    <xf numFmtId="0" fontId="0" fillId="0" borderId="6" xfId="0" applyBorder="1"/>
    <xf numFmtId="0" fontId="0" fillId="4" borderId="7" xfId="0" applyFill="1" applyBorder="1"/>
    <xf numFmtId="0" fontId="0" fillId="4" borderId="8" xfId="0" applyFill="1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5" fontId="0" fillId="0" borderId="7" xfId="0" applyNumberFormat="1" applyBorder="1"/>
    <xf numFmtId="165" fontId="0" fillId="0" borderId="0" xfId="0" applyNumberFormat="1"/>
    <xf numFmtId="165" fontId="0" fillId="0" borderId="8" xfId="0" applyNumberFormat="1" applyBorder="1"/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9" xfId="0" applyFill="1" applyBorder="1"/>
    <xf numFmtId="0" fontId="0" fillId="3" borderId="1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5" fontId="0" fillId="3" borderId="7" xfId="0" applyNumberFormat="1" applyFill="1" applyBorder="1"/>
    <xf numFmtId="165" fontId="0" fillId="3" borderId="0" xfId="0" applyNumberFormat="1" applyFill="1"/>
    <xf numFmtId="165" fontId="0" fillId="3" borderId="8" xfId="0" applyNumberFormat="1" applyFill="1" applyBorder="1"/>
    <xf numFmtId="0" fontId="0" fillId="3" borderId="0" xfId="0" applyFill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7ABE-6670-4536-93D5-92848C844268}">
  <dimension ref="A1:AU33"/>
  <sheetViews>
    <sheetView workbookViewId="0">
      <selection activeCell="H24" sqref="H24:I24"/>
    </sheetView>
  </sheetViews>
  <sheetFormatPr baseColWidth="10" defaultRowHeight="15" x14ac:dyDescent="0.25"/>
  <cols>
    <col min="2" max="2" width="13" customWidth="1"/>
    <col min="3" max="29" width="7.7109375" style="2" customWidth="1"/>
    <col min="30" max="41" width="8.85546875" style="2" customWidth="1"/>
  </cols>
  <sheetData>
    <row r="1" spans="1:47" x14ac:dyDescent="0.25">
      <c r="C1" s="2">
        <v>1</v>
      </c>
      <c r="D1" s="2">
        <f>+C1+1</f>
        <v>2</v>
      </c>
      <c r="E1" s="2">
        <f t="shared" ref="E1:AU1" si="0">+D1+1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  <c r="K1" s="2">
        <f t="shared" si="0"/>
        <v>9</v>
      </c>
      <c r="L1" s="2">
        <f t="shared" si="0"/>
        <v>10</v>
      </c>
      <c r="M1" s="2">
        <f t="shared" si="0"/>
        <v>11</v>
      </c>
      <c r="N1" s="2">
        <f t="shared" si="0"/>
        <v>12</v>
      </c>
      <c r="O1" s="2">
        <f t="shared" si="0"/>
        <v>13</v>
      </c>
      <c r="P1" s="2">
        <f t="shared" si="0"/>
        <v>14</v>
      </c>
      <c r="Q1" s="2">
        <f t="shared" si="0"/>
        <v>15</v>
      </c>
      <c r="R1" s="2">
        <f t="shared" si="0"/>
        <v>16</v>
      </c>
      <c r="S1" s="2">
        <f t="shared" si="0"/>
        <v>17</v>
      </c>
      <c r="T1" s="2">
        <f t="shared" si="0"/>
        <v>18</v>
      </c>
      <c r="U1" s="2">
        <f t="shared" si="0"/>
        <v>19</v>
      </c>
      <c r="V1" s="2">
        <f t="shared" si="0"/>
        <v>20</v>
      </c>
      <c r="W1" s="2">
        <f t="shared" si="0"/>
        <v>21</v>
      </c>
      <c r="X1" s="2">
        <f t="shared" si="0"/>
        <v>22</v>
      </c>
      <c r="Y1" s="2">
        <f t="shared" si="0"/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  <c r="AC1" s="2">
        <f t="shared" si="0"/>
        <v>27</v>
      </c>
      <c r="AD1" s="2">
        <f>+AC1+1</f>
        <v>28</v>
      </c>
      <c r="AE1" s="2">
        <f t="shared" si="0"/>
        <v>29</v>
      </c>
      <c r="AF1" s="2">
        <f t="shared" si="0"/>
        <v>30</v>
      </c>
      <c r="AG1" s="2">
        <f t="shared" si="0"/>
        <v>31</v>
      </c>
      <c r="AH1" s="2">
        <f t="shared" si="0"/>
        <v>32</v>
      </c>
      <c r="AI1" s="2">
        <f t="shared" si="0"/>
        <v>33</v>
      </c>
      <c r="AJ1" s="2">
        <f t="shared" si="0"/>
        <v>34</v>
      </c>
      <c r="AK1" s="2">
        <f t="shared" si="0"/>
        <v>35</v>
      </c>
      <c r="AL1" s="2">
        <f t="shared" si="0"/>
        <v>36</v>
      </c>
      <c r="AM1" s="2">
        <f t="shared" si="0"/>
        <v>37</v>
      </c>
      <c r="AN1" s="2">
        <f t="shared" si="0"/>
        <v>38</v>
      </c>
      <c r="AO1" s="2">
        <f t="shared" si="0"/>
        <v>39</v>
      </c>
      <c r="AP1" s="2">
        <f t="shared" si="0"/>
        <v>40</v>
      </c>
      <c r="AQ1" s="2">
        <f t="shared" si="0"/>
        <v>41</v>
      </c>
      <c r="AR1" s="2">
        <f t="shared" si="0"/>
        <v>42</v>
      </c>
      <c r="AS1" s="2">
        <f t="shared" si="0"/>
        <v>43</v>
      </c>
      <c r="AT1" s="2">
        <f t="shared" si="0"/>
        <v>44</v>
      </c>
      <c r="AU1" s="2">
        <f t="shared" si="0"/>
        <v>45</v>
      </c>
    </row>
    <row r="2" spans="1:47" x14ac:dyDescent="0.25">
      <c r="A2" s="6" t="s">
        <v>2</v>
      </c>
      <c r="B2" s="6" t="s">
        <v>3</v>
      </c>
      <c r="C2" s="8" t="s">
        <v>7</v>
      </c>
      <c r="D2" s="8" t="s">
        <v>6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23</v>
      </c>
      <c r="R2" s="8" t="s">
        <v>24</v>
      </c>
      <c r="S2" s="8" t="s">
        <v>33</v>
      </c>
      <c r="T2" s="8" t="s">
        <v>25</v>
      </c>
      <c r="U2" s="8" t="s">
        <v>26</v>
      </c>
      <c r="V2" s="8" t="s">
        <v>27</v>
      </c>
      <c r="W2" s="8" t="s">
        <v>31</v>
      </c>
      <c r="X2" s="8" t="s">
        <v>32</v>
      </c>
      <c r="Y2" s="8" t="s">
        <v>33</v>
      </c>
      <c r="Z2" s="8" t="s">
        <v>34</v>
      </c>
      <c r="AA2" s="8" t="s">
        <v>35</v>
      </c>
      <c r="AB2" s="8" t="s">
        <v>36</v>
      </c>
      <c r="AC2" s="8" t="s">
        <v>37</v>
      </c>
      <c r="AD2" s="8" t="s">
        <v>39</v>
      </c>
      <c r="AE2" s="8" t="s">
        <v>40</v>
      </c>
      <c r="AF2" s="8" t="s">
        <v>41</v>
      </c>
      <c r="AG2" s="8" t="s">
        <v>42</v>
      </c>
      <c r="AH2" s="8" t="s">
        <v>43</v>
      </c>
      <c r="AI2" s="8" t="s">
        <v>45</v>
      </c>
      <c r="AJ2" s="8" t="s">
        <v>46</v>
      </c>
      <c r="AK2" s="8" t="s">
        <v>47</v>
      </c>
      <c r="AL2" s="8" t="s">
        <v>48</v>
      </c>
      <c r="AM2" s="8" t="s">
        <v>50</v>
      </c>
      <c r="AN2" s="8" t="s">
        <v>51</v>
      </c>
      <c r="AO2" s="8" t="s">
        <v>52</v>
      </c>
      <c r="AP2" s="8" t="s">
        <v>57</v>
      </c>
      <c r="AQ2" s="8" t="s">
        <v>58</v>
      </c>
      <c r="AR2" s="8" t="s">
        <v>59</v>
      </c>
      <c r="AS2" s="8" t="s">
        <v>102</v>
      </c>
      <c r="AT2" s="8" t="s">
        <v>60</v>
      </c>
      <c r="AU2" s="8" t="s">
        <v>103</v>
      </c>
    </row>
    <row r="3" spans="1:47" x14ac:dyDescent="0.25">
      <c r="A3" s="7">
        <v>1</v>
      </c>
      <c r="B3" s="16" t="s">
        <v>4</v>
      </c>
      <c r="C3" s="4" t="s">
        <v>13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x14ac:dyDescent="0.25">
      <c r="A4" s="7">
        <f>+A3+1</f>
        <v>2</v>
      </c>
      <c r="B4" s="16" t="s">
        <v>5</v>
      </c>
      <c r="C4" s="4" t="s">
        <v>13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x14ac:dyDescent="0.25">
      <c r="A5" s="7">
        <f t="shared" ref="A5:A14" si="1">+A4+1</f>
        <v>3</v>
      </c>
      <c r="B5" s="16" t="s">
        <v>14</v>
      </c>
      <c r="C5" s="4" t="s">
        <v>13</v>
      </c>
      <c r="D5" s="4"/>
      <c r="E5" s="4"/>
      <c r="F5" s="4" t="s">
        <v>13</v>
      </c>
      <c r="G5" s="4" t="s">
        <v>13</v>
      </c>
      <c r="H5" s="4" t="s">
        <v>13</v>
      </c>
      <c r="I5" s="4" t="s">
        <v>13</v>
      </c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x14ac:dyDescent="0.25">
      <c r="A6" s="7">
        <f t="shared" si="1"/>
        <v>4</v>
      </c>
      <c r="B6" s="16" t="s">
        <v>54</v>
      </c>
      <c r="C6" s="4"/>
      <c r="D6" s="4"/>
      <c r="E6" s="4"/>
      <c r="F6" s="4"/>
      <c r="G6" s="4"/>
      <c r="H6" s="4"/>
      <c r="I6" s="4"/>
      <c r="J6" s="5" t="s">
        <v>13</v>
      </c>
      <c r="K6" s="4" t="s">
        <v>13</v>
      </c>
      <c r="L6" s="4" t="s">
        <v>13</v>
      </c>
      <c r="M6" s="4" t="s">
        <v>13</v>
      </c>
      <c r="N6" s="4" t="s">
        <v>13</v>
      </c>
      <c r="O6" s="4" t="s">
        <v>13</v>
      </c>
      <c r="P6" s="4" t="s">
        <v>13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x14ac:dyDescent="0.25">
      <c r="A7" s="7">
        <f t="shared" si="1"/>
        <v>5</v>
      </c>
      <c r="B7" s="16" t="s">
        <v>55</v>
      </c>
      <c r="C7" s="4"/>
      <c r="D7" s="4"/>
      <c r="E7" s="4"/>
      <c r="F7" s="4"/>
      <c r="G7" s="4"/>
      <c r="H7" s="4"/>
      <c r="I7" s="4"/>
      <c r="J7" s="5"/>
      <c r="K7" s="4"/>
      <c r="L7" s="4"/>
      <c r="M7" s="4"/>
      <c r="N7" s="4"/>
      <c r="O7" s="4" t="s">
        <v>13</v>
      </c>
      <c r="P7" s="4" t="s">
        <v>13</v>
      </c>
      <c r="Q7" s="4" t="s">
        <v>13</v>
      </c>
      <c r="R7" s="4" t="s">
        <v>13</v>
      </c>
      <c r="S7" s="4"/>
      <c r="T7" s="4" t="s">
        <v>13</v>
      </c>
      <c r="U7" s="4" t="s">
        <v>13</v>
      </c>
      <c r="V7" s="4" t="s">
        <v>13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x14ac:dyDescent="0.25">
      <c r="A8" s="7">
        <f t="shared" si="1"/>
        <v>6</v>
      </c>
      <c r="B8" s="16" t="s">
        <v>22</v>
      </c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 t="s">
        <v>13</v>
      </c>
      <c r="P8" s="4" t="s">
        <v>13</v>
      </c>
      <c r="Q8" s="4" t="s">
        <v>13</v>
      </c>
      <c r="R8" s="4" t="s">
        <v>13</v>
      </c>
      <c r="S8" s="4"/>
      <c r="T8" s="4" t="s">
        <v>13</v>
      </c>
      <c r="U8" s="4" t="s">
        <v>13</v>
      </c>
      <c r="V8" s="4" t="s">
        <v>13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x14ac:dyDescent="0.25">
      <c r="A9" s="7">
        <f t="shared" si="1"/>
        <v>7</v>
      </c>
      <c r="B9" s="16" t="s">
        <v>28</v>
      </c>
      <c r="C9" s="4"/>
      <c r="D9" s="4"/>
      <c r="E9" s="4"/>
      <c r="F9" s="4"/>
      <c r="G9" s="4"/>
      <c r="H9" s="4"/>
      <c r="I9" s="4"/>
      <c r="J9" s="5"/>
      <c r="K9" s="4"/>
      <c r="L9" s="4"/>
      <c r="M9" s="4"/>
      <c r="N9" s="4"/>
      <c r="O9" s="4" t="s">
        <v>13</v>
      </c>
      <c r="P9" s="4" t="s">
        <v>13</v>
      </c>
      <c r="Q9" s="4" t="s">
        <v>13</v>
      </c>
      <c r="R9" s="4" t="s">
        <v>13</v>
      </c>
      <c r="S9" s="4"/>
      <c r="T9" s="4" t="s">
        <v>13</v>
      </c>
      <c r="U9" s="4" t="s">
        <v>13</v>
      </c>
      <c r="V9" s="4" t="s">
        <v>13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x14ac:dyDescent="0.25">
      <c r="A10" s="7">
        <f t="shared" si="1"/>
        <v>8</v>
      </c>
      <c r="B10" s="16" t="s">
        <v>29</v>
      </c>
      <c r="C10" s="4"/>
      <c r="D10" s="4"/>
      <c r="E10" s="4"/>
      <c r="F10" s="4"/>
      <c r="G10" s="4"/>
      <c r="H10" s="4"/>
      <c r="I10" s="4"/>
      <c r="J10" s="5"/>
      <c r="K10" s="4"/>
      <c r="L10" s="4"/>
      <c r="M10" s="4"/>
      <c r="N10" s="4"/>
      <c r="O10" s="4" t="s">
        <v>13</v>
      </c>
      <c r="P10" s="4" t="s">
        <v>13</v>
      </c>
      <c r="Q10" s="4" t="s">
        <v>13</v>
      </c>
      <c r="R10" s="4" t="s">
        <v>13</v>
      </c>
      <c r="S10" s="4"/>
      <c r="T10" s="4" t="s">
        <v>13</v>
      </c>
      <c r="U10" s="4" t="s">
        <v>13</v>
      </c>
      <c r="V10" s="4" t="s">
        <v>13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x14ac:dyDescent="0.25">
      <c r="A11" s="7">
        <f t="shared" si="1"/>
        <v>9</v>
      </c>
      <c r="B11" s="16" t="s">
        <v>30</v>
      </c>
      <c r="C11" s="4"/>
      <c r="D11" s="4"/>
      <c r="E11" s="4"/>
      <c r="F11" s="4"/>
      <c r="G11" s="4"/>
      <c r="H11" s="4"/>
      <c r="I11" s="4"/>
      <c r="J11" s="5"/>
      <c r="K11" s="4"/>
      <c r="L11" s="4"/>
      <c r="M11" s="4"/>
      <c r="N11" s="4"/>
      <c r="O11" s="4"/>
      <c r="P11" s="4" t="s">
        <v>13</v>
      </c>
      <c r="Q11" s="4"/>
      <c r="R11" s="4"/>
      <c r="S11" s="4"/>
      <c r="T11" s="4"/>
      <c r="U11" s="4"/>
      <c r="V11" s="4"/>
      <c r="W11" s="4" t="s">
        <v>13</v>
      </c>
      <c r="X11" s="4" t="s">
        <v>13</v>
      </c>
      <c r="Y11" s="4" t="s">
        <v>13</v>
      </c>
      <c r="Z11" s="4" t="s">
        <v>13</v>
      </c>
      <c r="AA11" s="4" t="s">
        <v>13</v>
      </c>
      <c r="AB11" s="4" t="s">
        <v>13</v>
      </c>
      <c r="AC11" s="4" t="s">
        <v>13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x14ac:dyDescent="0.25">
      <c r="A12" s="7">
        <f t="shared" si="1"/>
        <v>10</v>
      </c>
      <c r="B12" s="16" t="s">
        <v>38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 t="s">
        <v>0</v>
      </c>
      <c r="Z12" s="4"/>
      <c r="AA12" s="4"/>
      <c r="AB12" s="4"/>
      <c r="AC12" s="4" t="s">
        <v>13</v>
      </c>
      <c r="AD12" s="4" t="s">
        <v>13</v>
      </c>
      <c r="AE12" s="4" t="s">
        <v>13</v>
      </c>
      <c r="AF12" s="4" t="s">
        <v>13</v>
      </c>
      <c r="AG12" s="4" t="s">
        <v>13</v>
      </c>
      <c r="AH12" s="4" t="s">
        <v>13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 t="s">
        <v>13</v>
      </c>
      <c r="AU12" s="4" t="s">
        <v>13</v>
      </c>
    </row>
    <row r="13" spans="1:47" s="49" customFormat="1" x14ac:dyDescent="0.25">
      <c r="A13" s="13">
        <f t="shared" si="1"/>
        <v>11</v>
      </c>
      <c r="B13" s="47" t="s">
        <v>44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 t="s">
        <v>13</v>
      </c>
      <c r="Q13" s="48"/>
      <c r="R13" s="48"/>
      <c r="S13" s="48" t="s">
        <v>13</v>
      </c>
      <c r="T13" s="48"/>
      <c r="U13" s="48"/>
      <c r="V13" s="48"/>
      <c r="W13" s="48"/>
      <c r="X13" s="48"/>
      <c r="Y13" s="48"/>
      <c r="Z13" s="48"/>
      <c r="AA13" s="48"/>
      <c r="AB13" s="48"/>
      <c r="AC13" s="48" t="s">
        <v>13</v>
      </c>
      <c r="AD13" s="48"/>
      <c r="AE13" s="48"/>
      <c r="AF13" s="48"/>
      <c r="AG13" s="48"/>
      <c r="AH13" s="48"/>
      <c r="AI13" s="48" t="s">
        <v>13</v>
      </c>
      <c r="AJ13" s="48" t="s">
        <v>13</v>
      </c>
      <c r="AK13" s="48" t="s">
        <v>13</v>
      </c>
      <c r="AL13" s="48" t="s">
        <v>13</v>
      </c>
      <c r="AM13" s="48"/>
      <c r="AN13" s="48"/>
      <c r="AO13" s="48"/>
      <c r="AP13" s="48"/>
      <c r="AQ13" s="48"/>
      <c r="AR13" s="48"/>
      <c r="AS13" s="48" t="s">
        <v>13</v>
      </c>
      <c r="AT13" s="48" t="s">
        <v>13</v>
      </c>
      <c r="AU13" s="48" t="s">
        <v>13</v>
      </c>
    </row>
    <row r="14" spans="1:47" x14ac:dyDescent="0.25">
      <c r="A14" s="7">
        <f t="shared" si="1"/>
        <v>12</v>
      </c>
      <c r="B14" s="16" t="s">
        <v>49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 t="s">
        <v>13</v>
      </c>
      <c r="AN14" s="8" t="s">
        <v>13</v>
      </c>
      <c r="AO14" s="8" t="s">
        <v>13</v>
      </c>
      <c r="AP14" s="8"/>
      <c r="AQ14" s="8"/>
      <c r="AR14" s="8"/>
      <c r="AS14" s="8"/>
      <c r="AT14" s="8"/>
      <c r="AU14" s="8"/>
    </row>
    <row r="15" spans="1:47" x14ac:dyDescent="0.25">
      <c r="A15" s="7">
        <v>13</v>
      </c>
      <c r="B15" s="16" t="s">
        <v>61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 t="s">
        <v>13</v>
      </c>
      <c r="Z15" s="8"/>
      <c r="AA15" s="8"/>
      <c r="AB15" s="8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 t="s">
        <v>13</v>
      </c>
      <c r="AQ15" s="8" t="s">
        <v>13</v>
      </c>
      <c r="AR15" s="8" t="s">
        <v>0</v>
      </c>
      <c r="AS15" s="8"/>
      <c r="AT15" s="8"/>
      <c r="AU15" s="8"/>
    </row>
    <row r="16" spans="1:47" x14ac:dyDescent="0.25">
      <c r="A16" s="7">
        <v>14</v>
      </c>
      <c r="B16" s="16" t="s">
        <v>56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 t="s">
        <v>13</v>
      </c>
      <c r="Z16" s="8"/>
      <c r="AA16" s="8"/>
      <c r="AB16" s="8"/>
      <c r="AC16" s="8" t="s">
        <v>13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 t="s">
        <v>13</v>
      </c>
      <c r="AR16" s="8"/>
      <c r="AS16" s="8"/>
      <c r="AT16" s="8" t="s">
        <v>13</v>
      </c>
      <c r="AU16" s="8"/>
    </row>
    <row r="17" spans="1:46" x14ac:dyDescent="0.25">
      <c r="A17" s="1"/>
      <c r="J17" s="3"/>
    </row>
    <row r="18" spans="1:46" x14ac:dyDescent="0.25">
      <c r="A18" s="1"/>
      <c r="J18" s="3"/>
    </row>
    <row r="19" spans="1:46" x14ac:dyDescent="0.25">
      <c r="A19" s="1"/>
      <c r="J19" s="3"/>
    </row>
    <row r="20" spans="1:46" x14ac:dyDescent="0.25">
      <c r="A20" s="1"/>
      <c r="J20" s="3"/>
    </row>
    <row r="21" spans="1:46" x14ac:dyDescent="0.25">
      <c r="A21" s="1"/>
      <c r="AP21" s="2"/>
      <c r="AQ21" s="2"/>
      <c r="AR21" s="2"/>
      <c r="AS21" s="2"/>
      <c r="AT21" s="2"/>
    </row>
    <row r="22" spans="1:46" x14ac:dyDescent="0.25">
      <c r="A22" s="1"/>
      <c r="J22" s="3"/>
    </row>
    <row r="23" spans="1:46" x14ac:dyDescent="0.25">
      <c r="A23" s="1"/>
    </row>
    <row r="24" spans="1:46" x14ac:dyDescent="0.25">
      <c r="A24" s="1"/>
    </row>
    <row r="25" spans="1:46" x14ac:dyDescent="0.25">
      <c r="A25" s="1"/>
    </row>
    <row r="26" spans="1:46" x14ac:dyDescent="0.25">
      <c r="A26" s="1"/>
    </row>
    <row r="27" spans="1:46" x14ac:dyDescent="0.25">
      <c r="A27" s="1"/>
    </row>
    <row r="28" spans="1:46" x14ac:dyDescent="0.25">
      <c r="A28" s="1"/>
    </row>
    <row r="29" spans="1:46" x14ac:dyDescent="0.25">
      <c r="A29" s="1"/>
    </row>
    <row r="30" spans="1:46" x14ac:dyDescent="0.25">
      <c r="A30" s="1"/>
    </row>
    <row r="31" spans="1:46" x14ac:dyDescent="0.25">
      <c r="A31" s="1"/>
    </row>
    <row r="32" spans="1:46" x14ac:dyDescent="0.25">
      <c r="A32" s="1"/>
    </row>
    <row r="33" spans="1:1" x14ac:dyDescent="0.25">
      <c r="A33" s="1"/>
    </row>
  </sheetData>
  <pageMargins left="0.7" right="0.7" top="0.75" bottom="0.75" header="0.3" footer="0.3"/>
  <headerFooter>
    <oddHeader>&amp;C&amp;"Verdana"&amp;10&amp;K000000 Classification: Internal Purpose&amp;1#_x000D_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C384-2F97-497E-AFD8-53BE3501F7C2}">
  <dimension ref="A2:E40"/>
  <sheetViews>
    <sheetView workbookViewId="0">
      <selection activeCell="C19" sqref="C19:E19"/>
    </sheetView>
  </sheetViews>
  <sheetFormatPr baseColWidth="10" defaultRowHeight="15" x14ac:dyDescent="0.25"/>
  <sheetData>
    <row r="2" spans="1:5" x14ac:dyDescent="0.25">
      <c r="A2" s="7" t="s">
        <v>75</v>
      </c>
      <c r="B2" s="7" t="s">
        <v>3</v>
      </c>
      <c r="C2" s="7" t="s">
        <v>53</v>
      </c>
      <c r="D2" s="7" t="s">
        <v>74</v>
      </c>
      <c r="E2" s="7" t="s">
        <v>73</v>
      </c>
    </row>
    <row r="3" spans="1:5" x14ac:dyDescent="0.25">
      <c r="A3" s="7">
        <f>+MATCH(B3,WTG!$B$3:$B$16,0)</f>
        <v>1</v>
      </c>
      <c r="B3" s="7" t="s">
        <v>4</v>
      </c>
      <c r="C3" s="7">
        <v>3600</v>
      </c>
      <c r="D3" s="7">
        <v>1744</v>
      </c>
      <c r="E3" s="9">
        <f t="shared" ref="E3:E23" si="0">+SQRT(C3*C3+D3*D3)</f>
        <v>4000.1919953922211</v>
      </c>
    </row>
    <row r="4" spans="1:5" x14ac:dyDescent="0.25">
      <c r="A4" s="7">
        <f>+MATCH(B4,WTG!$B$3:$B$16,0)</f>
        <v>2</v>
      </c>
      <c r="B4" s="7" t="s">
        <v>5</v>
      </c>
      <c r="C4" s="7">
        <v>3000</v>
      </c>
      <c r="D4" s="7">
        <v>1598</v>
      </c>
      <c r="E4" s="9">
        <f t="shared" si="0"/>
        <v>3399.0592816248441</v>
      </c>
    </row>
    <row r="5" spans="1:5" x14ac:dyDescent="0.25">
      <c r="A5" s="7">
        <f>+MATCH(B5,WTG!$B$3:$B$16,0)</f>
        <v>3</v>
      </c>
      <c r="B5" s="7" t="s">
        <v>14</v>
      </c>
      <c r="C5" s="7">
        <v>3900</v>
      </c>
      <c r="D5" s="7">
        <v>2400</v>
      </c>
      <c r="E5" s="9">
        <f t="shared" si="0"/>
        <v>4579.3012567421247</v>
      </c>
    </row>
    <row r="6" spans="1:5" x14ac:dyDescent="0.25">
      <c r="A6" s="7">
        <f>+MATCH(B6,WTG!$B$3:$B$16,0)</f>
        <v>4</v>
      </c>
      <c r="B6" s="7" t="s">
        <v>54</v>
      </c>
      <c r="C6" s="7">
        <v>4000</v>
      </c>
      <c r="D6" s="7">
        <v>2500</v>
      </c>
      <c r="E6" s="9">
        <f t="shared" si="0"/>
        <v>4716.9905660283021</v>
      </c>
    </row>
    <row r="7" spans="1:5" x14ac:dyDescent="0.25">
      <c r="A7" s="7">
        <f>+MATCH(B7,WTG!$B$3:$B$16,0)</f>
        <v>4</v>
      </c>
      <c r="B7" s="7" t="s">
        <v>54</v>
      </c>
      <c r="C7" s="7">
        <v>4380</v>
      </c>
      <c r="D7" s="7">
        <v>2500</v>
      </c>
      <c r="E7" s="9">
        <f t="shared" si="0"/>
        <v>5043.2529185040876</v>
      </c>
    </row>
    <row r="8" spans="1:5" x14ac:dyDescent="0.25">
      <c r="A8" s="7">
        <f>+MATCH(B8,WTG!$B$3:$B$16,0)</f>
        <v>4</v>
      </c>
      <c r="B8" s="7" t="s">
        <v>54</v>
      </c>
      <c r="C8" s="7">
        <v>4500</v>
      </c>
      <c r="D8" s="7">
        <v>2500</v>
      </c>
      <c r="E8" s="9">
        <f t="shared" si="0"/>
        <v>5147.8150704935006</v>
      </c>
    </row>
    <row r="9" spans="1:5" x14ac:dyDescent="0.25">
      <c r="A9" s="7">
        <f>+MATCH(B9,WTG!$B$3:$B$16,0)</f>
        <v>4</v>
      </c>
      <c r="B9" s="7" t="s">
        <v>54</v>
      </c>
      <c r="C9" s="7">
        <v>4800</v>
      </c>
      <c r="D9" s="7">
        <v>2610</v>
      </c>
      <c r="E9" s="9">
        <f t="shared" si="0"/>
        <v>5463.707532436194</v>
      </c>
    </row>
    <row r="10" spans="1:5" x14ac:dyDescent="0.25">
      <c r="A10" s="7">
        <f>+MATCH(B10,WTG!$B$3:$B$16,0)</f>
        <v>5</v>
      </c>
      <c r="B10" s="7" t="s">
        <v>55</v>
      </c>
      <c r="C10" s="7">
        <v>4000</v>
      </c>
      <c r="D10" s="7">
        <v>2500</v>
      </c>
      <c r="E10" s="9">
        <f t="shared" ref="E10:E13" si="1">+SQRT(C10*C10+D10*D10)</f>
        <v>4716.9905660283021</v>
      </c>
    </row>
    <row r="11" spans="1:5" x14ac:dyDescent="0.25">
      <c r="A11" s="7">
        <f>+MATCH(B11,WTG!$B$3:$B$16,0)</f>
        <v>5</v>
      </c>
      <c r="B11" s="7" t="s">
        <v>55</v>
      </c>
      <c r="C11" s="7">
        <v>4380</v>
      </c>
      <c r="D11" s="7">
        <v>2500</v>
      </c>
      <c r="E11" s="9">
        <f t="shared" si="1"/>
        <v>5043.2529185040876</v>
      </c>
    </row>
    <row r="12" spans="1:5" x14ac:dyDescent="0.25">
      <c r="A12" s="7">
        <f>+MATCH(B12,WTG!$B$3:$B$16,0)</f>
        <v>5</v>
      </c>
      <c r="B12" s="7" t="s">
        <v>55</v>
      </c>
      <c r="C12" s="7">
        <v>4500</v>
      </c>
      <c r="D12" s="7">
        <v>2500</v>
      </c>
      <c r="E12" s="9">
        <f t="shared" si="1"/>
        <v>5147.8150704935006</v>
      </c>
    </row>
    <row r="13" spans="1:5" x14ac:dyDescent="0.25">
      <c r="A13" s="7">
        <f>+MATCH(B13,WTG!$B$3:$B$16,0)</f>
        <v>5</v>
      </c>
      <c r="B13" s="7" t="s">
        <v>55</v>
      </c>
      <c r="C13" s="7">
        <v>4800</v>
      </c>
      <c r="D13" s="7">
        <v>2610</v>
      </c>
      <c r="E13" s="9">
        <f t="shared" si="1"/>
        <v>5463.707532436194</v>
      </c>
    </row>
    <row r="14" spans="1:5" x14ac:dyDescent="0.25">
      <c r="A14" s="7">
        <f>+MATCH(B14,WTG!$B$3:$B$16,0)</f>
        <v>6</v>
      </c>
      <c r="B14" s="7" t="s">
        <v>22</v>
      </c>
      <c r="C14" s="7">
        <v>4000</v>
      </c>
      <c r="D14" s="7">
        <v>2500</v>
      </c>
      <c r="E14" s="9">
        <f t="shared" ref="E14:E17" si="2">+SQRT(C14*C14+D14*D14)</f>
        <v>4716.9905660283021</v>
      </c>
    </row>
    <row r="15" spans="1:5" x14ac:dyDescent="0.25">
      <c r="A15" s="7">
        <f>+MATCH(B15,WTG!$B$3:$B$16,0)</f>
        <v>6</v>
      </c>
      <c r="B15" s="7" t="s">
        <v>22</v>
      </c>
      <c r="C15" s="7">
        <v>4380</v>
      </c>
      <c r="D15" s="7">
        <v>2500</v>
      </c>
      <c r="E15" s="9">
        <f t="shared" si="2"/>
        <v>5043.2529185040876</v>
      </c>
    </row>
    <row r="16" spans="1:5" x14ac:dyDescent="0.25">
      <c r="A16" s="7">
        <f>+MATCH(B16,WTG!$B$3:$B$16,0)</f>
        <v>6</v>
      </c>
      <c r="B16" s="7" t="s">
        <v>22</v>
      </c>
      <c r="C16" s="7">
        <v>4500</v>
      </c>
      <c r="D16" s="7">
        <v>2500</v>
      </c>
      <c r="E16" s="9">
        <f t="shared" si="2"/>
        <v>5147.8150704935006</v>
      </c>
    </row>
    <row r="17" spans="1:5" x14ac:dyDescent="0.25">
      <c r="A17" s="7">
        <f>+MATCH(B17,WTG!$B$3:$B$16,0)</f>
        <v>6</v>
      </c>
      <c r="B17" s="7" t="s">
        <v>22</v>
      </c>
      <c r="C17" s="7">
        <v>4800</v>
      </c>
      <c r="D17" s="7">
        <v>2610</v>
      </c>
      <c r="E17" s="9">
        <f t="shared" si="2"/>
        <v>5463.707532436194</v>
      </c>
    </row>
    <row r="18" spans="1:5" x14ac:dyDescent="0.25">
      <c r="A18" s="7">
        <f>+MATCH(B18,WTG!$B$3:$B$16,0)</f>
        <v>7</v>
      </c>
      <c r="B18" s="7" t="s">
        <v>28</v>
      </c>
      <c r="C18" s="7">
        <v>4800</v>
      </c>
      <c r="D18" s="7">
        <v>2610</v>
      </c>
      <c r="E18" s="9">
        <f t="shared" ref="E18:E19" si="3">+SQRT(C18*C18+D18*D18)</f>
        <v>5463.707532436194</v>
      </c>
    </row>
    <row r="19" spans="1:5" x14ac:dyDescent="0.25">
      <c r="A19" s="7">
        <f>+MATCH(B19,WTG!$B$3:$B$16,0)</f>
        <v>8</v>
      </c>
      <c r="B19" s="7" t="s">
        <v>29</v>
      </c>
      <c r="C19" s="7">
        <v>4800</v>
      </c>
      <c r="D19" s="7">
        <v>2610</v>
      </c>
      <c r="E19" s="9">
        <f t="shared" si="3"/>
        <v>5463.707532436194</v>
      </c>
    </row>
    <row r="20" spans="1:5" x14ac:dyDescent="0.25">
      <c r="A20" s="7">
        <f>+MATCH(B20,WTG!$B$3:$B$16,0)</f>
        <v>9</v>
      </c>
      <c r="B20" s="7" t="s">
        <v>30</v>
      </c>
      <c r="C20" s="7">
        <v>5700</v>
      </c>
      <c r="D20" s="7">
        <v>2761</v>
      </c>
      <c r="E20" s="9">
        <f t="shared" si="0"/>
        <v>6333.4920067842513</v>
      </c>
    </row>
    <row r="21" spans="1:5" x14ac:dyDescent="0.25">
      <c r="A21" s="7">
        <f>+MATCH(B21,WTG!$B$3:$B$16,0)</f>
        <v>9</v>
      </c>
      <c r="B21" s="7" t="s">
        <v>30</v>
      </c>
      <c r="C21" s="7">
        <v>5600</v>
      </c>
      <c r="D21" s="7">
        <v>2761</v>
      </c>
      <c r="E21" s="9">
        <f t="shared" si="0"/>
        <v>6243.6464505927943</v>
      </c>
    </row>
    <row r="22" spans="1:5" x14ac:dyDescent="0.25">
      <c r="A22" s="7">
        <f>+MATCH(B22,WTG!$B$3:$B$16,0)</f>
        <v>9</v>
      </c>
      <c r="B22" s="7" t="s">
        <v>30</v>
      </c>
      <c r="C22" s="7">
        <v>5500</v>
      </c>
      <c r="D22" s="7">
        <v>2761</v>
      </c>
      <c r="E22" s="9">
        <f t="shared" si="0"/>
        <v>6154.1141523374426</v>
      </c>
    </row>
    <row r="23" spans="1:5" x14ac:dyDescent="0.25">
      <c r="A23" s="7">
        <f>+MATCH(B23,WTG!$B$3:$B$16,0)</f>
        <v>9</v>
      </c>
      <c r="B23" s="7" t="s">
        <v>30</v>
      </c>
      <c r="C23" s="7">
        <v>5300</v>
      </c>
      <c r="D23" s="7">
        <v>2761</v>
      </c>
      <c r="E23" s="9">
        <f t="shared" si="0"/>
        <v>5976.0455988889507</v>
      </c>
    </row>
    <row r="24" spans="1:5" x14ac:dyDescent="0.25">
      <c r="A24" s="7">
        <f>+MATCH(B24,WTG!$B$3:$B$16,0)</f>
        <v>10</v>
      </c>
      <c r="B24" s="7" t="s">
        <v>38</v>
      </c>
      <c r="C24" s="7">
        <v>5900</v>
      </c>
      <c r="D24" s="7">
        <v>2350</v>
      </c>
      <c r="E24" s="9">
        <f t="shared" ref="E24:E40" si="4">+SQRT(C24*C24+D24*D24)</f>
        <v>6350.7873527618603</v>
      </c>
    </row>
    <row r="25" spans="1:5" x14ac:dyDescent="0.25">
      <c r="A25" s="7">
        <f>+MATCH(B25,WTG!$B$3:$B$16,0)</f>
        <v>10</v>
      </c>
      <c r="B25" s="7" t="s">
        <v>38</v>
      </c>
      <c r="C25" s="7">
        <v>5900</v>
      </c>
      <c r="D25" s="7">
        <v>2250</v>
      </c>
      <c r="E25" s="9">
        <f t="shared" si="4"/>
        <v>6314.4675151591364</v>
      </c>
    </row>
    <row r="26" spans="1:5" x14ac:dyDescent="0.25">
      <c r="A26" s="7">
        <f>+MATCH(B26,WTG!$B$3:$B$16,0)</f>
        <v>10</v>
      </c>
      <c r="B26" s="7" t="s">
        <v>38</v>
      </c>
      <c r="C26" s="7">
        <v>5800</v>
      </c>
      <c r="D26" s="7">
        <v>2350</v>
      </c>
      <c r="E26" s="9">
        <f t="shared" si="4"/>
        <v>6257.9948865431334</v>
      </c>
    </row>
    <row r="27" spans="1:5" x14ac:dyDescent="0.25">
      <c r="A27" s="7">
        <f>+MATCH(B27,WTG!$B$3:$B$16,0)</f>
        <v>10</v>
      </c>
      <c r="B27" s="7" t="s">
        <v>38</v>
      </c>
      <c r="C27" s="7">
        <v>5700</v>
      </c>
      <c r="D27" s="7">
        <v>2350</v>
      </c>
      <c r="E27" s="9">
        <f t="shared" si="4"/>
        <v>6165.4278034861454</v>
      </c>
    </row>
    <row r="28" spans="1:5" x14ac:dyDescent="0.25">
      <c r="A28" s="7">
        <f>+MATCH(B28,WTG!$B$3:$B$16,0)</f>
        <v>10</v>
      </c>
      <c r="B28" s="7" t="s">
        <v>38</v>
      </c>
      <c r="C28" s="7">
        <v>5600</v>
      </c>
      <c r="D28" s="7">
        <v>2350</v>
      </c>
      <c r="E28" s="9">
        <f t="shared" si="4"/>
        <v>6073.0964095755962</v>
      </c>
    </row>
    <row r="29" spans="1:5" x14ac:dyDescent="0.25">
      <c r="A29" s="7">
        <f>+MATCH(B29,WTG!$B$3:$B$16,0)</f>
        <v>10</v>
      </c>
      <c r="B29" s="7" t="s">
        <v>38</v>
      </c>
      <c r="C29" s="7">
        <v>5500</v>
      </c>
      <c r="D29" s="7">
        <v>2350</v>
      </c>
      <c r="E29" s="9">
        <f t="shared" si="4"/>
        <v>5981.0116201191249</v>
      </c>
    </row>
    <row r="30" spans="1:5" x14ac:dyDescent="0.25">
      <c r="A30" s="7">
        <f>+MATCH(B30,WTG!$B$3:$B$16,0)</f>
        <v>10</v>
      </c>
      <c r="B30" s="7" t="s">
        <v>38</v>
      </c>
      <c r="C30" s="7">
        <v>5400</v>
      </c>
      <c r="D30" s="7">
        <v>2350</v>
      </c>
      <c r="E30" s="9">
        <f t="shared" si="4"/>
        <v>5889.1850030373471</v>
      </c>
    </row>
    <row r="31" spans="1:5" x14ac:dyDescent="0.25">
      <c r="A31" s="7">
        <f>+MATCH(B31,WTG!$B$3:$B$16,0)</f>
        <v>10</v>
      </c>
      <c r="B31" s="7" t="s">
        <v>38</v>
      </c>
      <c r="C31" s="7">
        <v>5300</v>
      </c>
      <c r="D31" s="7">
        <v>2350</v>
      </c>
      <c r="E31" s="9">
        <f t="shared" si="4"/>
        <v>5797.6288256493272</v>
      </c>
    </row>
    <row r="32" spans="1:5" x14ac:dyDescent="0.25">
      <c r="A32" s="7">
        <f>+MATCH(B32,WTG!$B$3:$B$16,0)</f>
        <v>11</v>
      </c>
      <c r="B32" s="7" t="s">
        <v>44</v>
      </c>
      <c r="C32" s="7">
        <v>7000</v>
      </c>
      <c r="D32" s="7">
        <v>3390</v>
      </c>
      <c r="E32" s="9">
        <f t="shared" si="4"/>
        <v>7777.6667452392176</v>
      </c>
    </row>
    <row r="33" spans="1:5" x14ac:dyDescent="0.25">
      <c r="A33" s="7">
        <f>+MATCH(B33,WTG!$B$3:$B$16,0)</f>
        <v>11</v>
      </c>
      <c r="B33" s="7" t="s">
        <v>44</v>
      </c>
      <c r="C33" s="7">
        <v>6800</v>
      </c>
      <c r="D33" s="7">
        <v>3670</v>
      </c>
      <c r="E33" s="9">
        <f t="shared" si="4"/>
        <v>7727.1534215388783</v>
      </c>
    </row>
    <row r="34" spans="1:5" x14ac:dyDescent="0.25">
      <c r="A34" s="7">
        <f>+MATCH(B34,WTG!$B$3:$B$16,0)</f>
        <v>12</v>
      </c>
      <c r="B34" s="7" t="s">
        <v>49</v>
      </c>
      <c r="C34" s="7">
        <v>6800</v>
      </c>
      <c r="D34" s="7">
        <v>3670</v>
      </c>
      <c r="E34" s="9">
        <f t="shared" si="4"/>
        <v>7727.1534215388783</v>
      </c>
    </row>
    <row r="35" spans="1:5" x14ac:dyDescent="0.25">
      <c r="A35" s="7">
        <f>+MATCH(B35,WTG!$B$3:$B$16,0)</f>
        <v>12</v>
      </c>
      <c r="B35" s="7" t="s">
        <v>49</v>
      </c>
      <c r="C35" s="7">
        <v>6220</v>
      </c>
      <c r="D35" s="7">
        <v>3750</v>
      </c>
      <c r="E35" s="9">
        <f t="shared" si="4"/>
        <v>7262.9814814578731</v>
      </c>
    </row>
    <row r="36" spans="1:5" x14ac:dyDescent="0.25">
      <c r="A36" s="7">
        <f>+MATCH(B36,WTG!$B$3:$B$16,0)</f>
        <v>13</v>
      </c>
      <c r="B36" s="10" t="s">
        <v>61</v>
      </c>
      <c r="C36" s="10">
        <v>4500</v>
      </c>
      <c r="D36" s="10">
        <v>2500</v>
      </c>
      <c r="E36" s="11">
        <f t="shared" si="4"/>
        <v>5147.8150704935006</v>
      </c>
    </row>
    <row r="37" spans="1:5" x14ac:dyDescent="0.25">
      <c r="A37" s="7">
        <f>+MATCH(B37,WTG!$B$3:$B$16,0)</f>
        <v>13</v>
      </c>
      <c r="B37" s="10" t="s">
        <v>61</v>
      </c>
      <c r="C37" s="10">
        <v>4800</v>
      </c>
      <c r="D37" s="10">
        <v>2500</v>
      </c>
      <c r="E37" s="11">
        <f t="shared" si="4"/>
        <v>5412.023651093923</v>
      </c>
    </row>
    <row r="38" spans="1:5" x14ac:dyDescent="0.25">
      <c r="A38" s="7">
        <f>+MATCH(B38,WTG!$B$3:$B$16,0)</f>
        <v>13</v>
      </c>
      <c r="B38" s="10" t="s">
        <v>61</v>
      </c>
      <c r="C38" s="10">
        <v>5000</v>
      </c>
      <c r="D38" s="10">
        <v>2500</v>
      </c>
      <c r="E38" s="11">
        <f t="shared" si="4"/>
        <v>5590.1699437494744</v>
      </c>
    </row>
    <row r="39" spans="1:5" x14ac:dyDescent="0.25">
      <c r="A39" s="7">
        <f>+MATCH(B39,WTG!$B$3:$B$16,0)</f>
        <v>13</v>
      </c>
      <c r="B39" s="10" t="s">
        <v>61</v>
      </c>
      <c r="C39" s="10">
        <v>4150</v>
      </c>
      <c r="D39" s="10">
        <v>2500</v>
      </c>
      <c r="E39" s="11">
        <f t="shared" si="4"/>
        <v>4844.8426187029027</v>
      </c>
    </row>
    <row r="40" spans="1:5" x14ac:dyDescent="0.25">
      <c r="A40" s="7">
        <f>+MATCH(B40,WTG!$B$3:$B$16,0)</f>
        <v>14</v>
      </c>
      <c r="B40" s="7" t="s">
        <v>56</v>
      </c>
      <c r="C40" s="7">
        <v>5700</v>
      </c>
      <c r="D40" s="7">
        <v>2345</v>
      </c>
      <c r="E40" s="12">
        <f t="shared" si="4"/>
        <v>6163.5237486360029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392E-8E0B-4A1E-88BC-B221FE6E9C53}">
  <dimension ref="A1:G15"/>
  <sheetViews>
    <sheetView workbookViewId="0">
      <selection activeCell="C3" sqref="C3:G5"/>
    </sheetView>
  </sheetViews>
  <sheetFormatPr baseColWidth="10" defaultRowHeight="15" x14ac:dyDescent="0.25"/>
  <cols>
    <col min="3" max="3" width="13.85546875" bestFit="1" customWidth="1"/>
    <col min="4" max="4" width="17.42578125" bestFit="1" customWidth="1"/>
    <col min="6" max="6" width="17.42578125" bestFit="1" customWidth="1"/>
    <col min="7" max="7" width="13.42578125" customWidth="1"/>
  </cols>
  <sheetData>
    <row r="1" spans="1:7" x14ac:dyDescent="0.25">
      <c r="A1" s="6"/>
      <c r="B1" s="6"/>
      <c r="C1" s="67" t="s">
        <v>78</v>
      </c>
      <c r="D1" s="67"/>
      <c r="E1" s="67" t="s">
        <v>79</v>
      </c>
      <c r="F1" s="67"/>
      <c r="G1" s="68" t="s">
        <v>80</v>
      </c>
    </row>
    <row r="2" spans="1:7" ht="28.5" customHeight="1" x14ac:dyDescent="0.25">
      <c r="A2" s="6" t="s">
        <v>2</v>
      </c>
      <c r="B2" s="6" t="s">
        <v>3</v>
      </c>
      <c r="C2" s="4" t="s">
        <v>76</v>
      </c>
      <c r="D2" s="4" t="s">
        <v>77</v>
      </c>
      <c r="E2" s="4" t="s">
        <v>76</v>
      </c>
      <c r="F2" s="4" t="s">
        <v>77</v>
      </c>
      <c r="G2" s="68"/>
    </row>
    <row r="3" spans="1:7" x14ac:dyDescent="0.25">
      <c r="A3" s="6">
        <f>+MATCH(B3,WTG!$B$3:$B$16,0)</f>
        <v>1</v>
      </c>
      <c r="B3" s="6" t="str">
        <f>+WTG!B3</f>
        <v>N131/3600</v>
      </c>
      <c r="C3" s="6">
        <v>2400</v>
      </c>
      <c r="D3" s="6">
        <v>58000</v>
      </c>
      <c r="E3" s="6">
        <v>4000</v>
      </c>
      <c r="F3" s="6">
        <v>60000</v>
      </c>
      <c r="G3" s="6">
        <v>5350</v>
      </c>
    </row>
    <row r="4" spans="1:7" x14ac:dyDescent="0.25">
      <c r="A4" s="6">
        <f>+MATCH(B4,WTG!$B$3:$B$16,0)</f>
        <v>2</v>
      </c>
      <c r="B4" s="6" t="str">
        <f>+WTG!B4</f>
        <v>N131/3000</v>
      </c>
      <c r="C4" s="6">
        <v>2400</v>
      </c>
      <c r="D4" s="6">
        <v>58000</v>
      </c>
      <c r="E4" s="6">
        <v>4000</v>
      </c>
      <c r="F4" s="6">
        <v>60000</v>
      </c>
      <c r="G4" s="6">
        <v>5350</v>
      </c>
    </row>
    <row r="5" spans="1:7" x14ac:dyDescent="0.25">
      <c r="A5" s="6">
        <f>+MATCH(B5,WTG!$B$3:$B$16,0)</f>
        <v>3</v>
      </c>
      <c r="B5" s="6" t="str">
        <f>+WTG!B5</f>
        <v>N131/3900</v>
      </c>
      <c r="C5" s="6">
        <v>2400</v>
      </c>
      <c r="D5" s="6">
        <v>58000</v>
      </c>
      <c r="E5" s="6">
        <v>4000</v>
      </c>
      <c r="F5" s="6">
        <v>60000</v>
      </c>
      <c r="G5" s="6">
        <v>5350</v>
      </c>
    </row>
    <row r="6" spans="1:7" x14ac:dyDescent="0.25">
      <c r="A6" s="6">
        <f>+MATCH(B6,WTG!$B$3:$B$16,0)</f>
        <v>4</v>
      </c>
      <c r="B6" s="6" t="str">
        <f>+WTG!B6</f>
        <v>N133/4.8</v>
      </c>
      <c r="C6" s="6">
        <v>2400</v>
      </c>
      <c r="D6" s="6">
        <v>58000</v>
      </c>
      <c r="E6" s="6">
        <v>4000</v>
      </c>
      <c r="F6" s="6">
        <v>60000</v>
      </c>
      <c r="G6" s="6">
        <v>5350</v>
      </c>
    </row>
    <row r="7" spans="1:7" x14ac:dyDescent="0.25">
      <c r="A7" s="6">
        <f>+MATCH(B7,WTG!$B$3:$B$16,0)</f>
        <v>5</v>
      </c>
      <c r="B7" s="6" t="str">
        <f>+WTG!B7</f>
        <v>N149/4.0</v>
      </c>
      <c r="C7" s="6">
        <v>2400</v>
      </c>
      <c r="D7" s="6">
        <v>58000</v>
      </c>
      <c r="E7" s="6">
        <v>4000</v>
      </c>
      <c r="F7" s="6">
        <v>60000</v>
      </c>
      <c r="G7" s="6">
        <v>4500</v>
      </c>
    </row>
    <row r="8" spans="1:7" x14ac:dyDescent="0.25">
      <c r="A8" s="6">
        <f>+MATCH(B8,WTG!$B$3:$B$16,0)</f>
        <v>6</v>
      </c>
      <c r="B8" s="6" t="str">
        <f>+WTG!B8</f>
        <v>N149/4.5</v>
      </c>
      <c r="C8" s="6">
        <v>2400</v>
      </c>
      <c r="D8" s="6">
        <v>58000</v>
      </c>
      <c r="E8" s="6">
        <v>4000</v>
      </c>
      <c r="F8" s="6">
        <v>60000</v>
      </c>
      <c r="G8" s="6">
        <v>4500</v>
      </c>
    </row>
    <row r="9" spans="1:7" x14ac:dyDescent="0.25">
      <c r="A9" s="6">
        <f>+MATCH(B9,WTG!$B$3:$B$16,0)</f>
        <v>7</v>
      </c>
      <c r="B9" s="6" t="str">
        <f>+WTG!B9</f>
        <v>N149/4.8</v>
      </c>
      <c r="C9" s="6">
        <v>2400</v>
      </c>
      <c r="D9" s="6">
        <v>58000</v>
      </c>
      <c r="E9" s="6">
        <v>4000</v>
      </c>
      <c r="F9" s="6">
        <v>60000</v>
      </c>
      <c r="G9" s="6">
        <v>5350</v>
      </c>
    </row>
    <row r="10" spans="1:7" x14ac:dyDescent="0.25">
      <c r="A10" s="6">
        <f>+MATCH(B10,WTG!$B$3:$B$16,0)</f>
        <v>8</v>
      </c>
      <c r="B10" s="6" t="str">
        <f>+WTG!B10</f>
        <v>N149/5</v>
      </c>
      <c r="C10" s="6">
        <v>2400</v>
      </c>
      <c r="D10" s="6">
        <v>58000</v>
      </c>
      <c r="E10" s="6">
        <v>4000</v>
      </c>
      <c r="F10" s="6">
        <v>60000</v>
      </c>
      <c r="G10" s="6">
        <v>5350</v>
      </c>
    </row>
    <row r="11" spans="1:7" x14ac:dyDescent="0.25">
      <c r="A11" s="6">
        <f>+MATCH(B11,WTG!$B$3:$B$16,0)</f>
        <v>9</v>
      </c>
      <c r="B11" s="6" t="str">
        <f>+WTG!B11</f>
        <v>N149/5.X</v>
      </c>
      <c r="C11" s="6">
        <v>2900</v>
      </c>
      <c r="D11" s="6">
        <v>70000</v>
      </c>
      <c r="E11" s="6">
        <v>4000</v>
      </c>
      <c r="F11" s="6">
        <v>71000</v>
      </c>
      <c r="G11" s="6">
        <v>5350</v>
      </c>
    </row>
    <row r="12" spans="1:7" x14ac:dyDescent="0.25">
      <c r="A12" s="6">
        <f>+MATCH(B12,WTG!$B$3:$B$16,0)</f>
        <v>10</v>
      </c>
      <c r="B12" s="6" t="str">
        <f>+WTG!B12</f>
        <v>N163/5.X</v>
      </c>
      <c r="C12" s="6">
        <v>2900</v>
      </c>
      <c r="D12" s="6">
        <v>70000</v>
      </c>
      <c r="E12" s="6">
        <v>4000</v>
      </c>
      <c r="F12" s="6">
        <v>71000</v>
      </c>
      <c r="G12" s="6">
        <v>6350</v>
      </c>
    </row>
    <row r="13" spans="1:7" x14ac:dyDescent="0.25">
      <c r="A13" s="6">
        <f>+MATCH(B13,WTG!$B$3:$B$16,0)</f>
        <v>11</v>
      </c>
      <c r="B13" s="6" t="str">
        <f>+WTG!B13</f>
        <v>N163/6.X</v>
      </c>
      <c r="C13" s="6">
        <v>3050</v>
      </c>
      <c r="D13" s="6">
        <v>80000</v>
      </c>
      <c r="E13" s="6">
        <v>4300</v>
      </c>
      <c r="F13" s="6">
        <v>80700</v>
      </c>
      <c r="G13" s="6">
        <v>7800</v>
      </c>
    </row>
    <row r="14" spans="1:7" x14ac:dyDescent="0.25">
      <c r="A14" s="6">
        <f>+MATCH(B14,WTG!$B$3:$B$16,0)</f>
        <v>12</v>
      </c>
      <c r="B14" s="6" t="str">
        <f>+WTG!B14</f>
        <v>N175/6.X</v>
      </c>
      <c r="C14" s="6">
        <v>3050</v>
      </c>
      <c r="D14" s="6">
        <v>80000</v>
      </c>
      <c r="E14" s="6">
        <v>4300</v>
      </c>
      <c r="F14" s="6">
        <v>80700</v>
      </c>
      <c r="G14" s="6">
        <v>7800</v>
      </c>
    </row>
    <row r="15" spans="1:7" x14ac:dyDescent="0.25">
      <c r="A15" s="6">
        <f>+MATCH(B15,WTG!$B$3:$B$16,0)</f>
        <v>13</v>
      </c>
      <c r="B15" s="6" t="str">
        <f>+WTG!B15</f>
        <v>N155/4.X</v>
      </c>
      <c r="C15" s="6">
        <v>4000</v>
      </c>
      <c r="D15" s="6">
        <v>60000</v>
      </c>
      <c r="E15" s="6">
        <v>4000</v>
      </c>
      <c r="F15" s="6">
        <v>60000</v>
      </c>
      <c r="G15" s="6">
        <v>5350</v>
      </c>
    </row>
  </sheetData>
  <mergeCells count="3">
    <mergeCell ref="C1:D1"/>
    <mergeCell ref="E1:F1"/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DAB3-8680-44CE-B8E0-AEAB05BF7912}">
  <dimension ref="A2:C16"/>
  <sheetViews>
    <sheetView workbookViewId="0">
      <selection activeCell="C23" sqref="C23"/>
    </sheetView>
  </sheetViews>
  <sheetFormatPr baseColWidth="10" defaultRowHeight="15" x14ac:dyDescent="0.25"/>
  <cols>
    <col min="3" max="3" width="17.5703125" customWidth="1"/>
  </cols>
  <sheetData>
    <row r="2" spans="1:3" x14ac:dyDescent="0.25">
      <c r="A2" s="7" t="s">
        <v>2</v>
      </c>
      <c r="B2" s="6" t="s">
        <v>3</v>
      </c>
      <c r="C2" s="6" t="s">
        <v>82</v>
      </c>
    </row>
    <row r="3" spans="1:3" x14ac:dyDescent="0.25">
      <c r="A3" s="7">
        <f>+MATCH(B3,WTG!$B$3:$B$16,0)</f>
        <v>1</v>
      </c>
      <c r="B3" s="4" t="str">
        <f>+WTG!B3</f>
        <v>N131/3600</v>
      </c>
      <c r="C3" s="7">
        <v>131</v>
      </c>
    </row>
    <row r="4" spans="1:3" x14ac:dyDescent="0.25">
      <c r="A4" s="7">
        <f>+MATCH(B4,WTG!$B$3:$B$16,0)</f>
        <v>2</v>
      </c>
      <c r="B4" s="4" t="str">
        <f>+WTG!B4</f>
        <v>N131/3000</v>
      </c>
      <c r="C4" s="7">
        <v>131</v>
      </c>
    </row>
    <row r="5" spans="1:3" x14ac:dyDescent="0.25">
      <c r="A5" s="7">
        <f>+MATCH(B5,WTG!$B$3:$B$16,0)</f>
        <v>3</v>
      </c>
      <c r="B5" s="4" t="str">
        <f>+WTG!B5</f>
        <v>N131/3900</v>
      </c>
      <c r="C5" s="7">
        <v>131</v>
      </c>
    </row>
    <row r="6" spans="1:3" x14ac:dyDescent="0.25">
      <c r="A6" s="7">
        <f>+MATCH(B6,WTG!$B$3:$B$16,0)</f>
        <v>4</v>
      </c>
      <c r="B6" s="4" t="str">
        <f>+WTG!B6</f>
        <v>N133/4.8</v>
      </c>
      <c r="C6" s="7">
        <v>133.19999999999999</v>
      </c>
    </row>
    <row r="7" spans="1:3" x14ac:dyDescent="0.25">
      <c r="A7" s="7">
        <f>+MATCH(B7,WTG!$B$3:$B$16,0)</f>
        <v>5</v>
      </c>
      <c r="B7" s="4" t="str">
        <f>+WTG!B7</f>
        <v>N149/4.0</v>
      </c>
      <c r="C7" s="7">
        <v>149.1</v>
      </c>
    </row>
    <row r="8" spans="1:3" x14ac:dyDescent="0.25">
      <c r="A8" s="7">
        <f>+MATCH(B8,WTG!$B$3:$B$16,0)</f>
        <v>6</v>
      </c>
      <c r="B8" s="4" t="str">
        <f>+WTG!B8</f>
        <v>N149/4.5</v>
      </c>
      <c r="C8" s="7">
        <v>149.1</v>
      </c>
    </row>
    <row r="9" spans="1:3" x14ac:dyDescent="0.25">
      <c r="A9" s="7">
        <f>+MATCH(B9,WTG!$B$3:$B$16,0)</f>
        <v>7</v>
      </c>
      <c r="B9" s="4" t="str">
        <f>+WTG!B9</f>
        <v>N149/4.8</v>
      </c>
      <c r="C9" s="13">
        <v>149.1</v>
      </c>
    </row>
    <row r="10" spans="1:3" x14ac:dyDescent="0.25">
      <c r="A10" s="7">
        <f>+MATCH(B10,WTG!$B$3:$B$16,0)</f>
        <v>8</v>
      </c>
      <c r="B10" s="4" t="str">
        <f>+WTG!B10</f>
        <v>N149/5</v>
      </c>
      <c r="C10" s="13">
        <v>149.1</v>
      </c>
    </row>
    <row r="11" spans="1:3" x14ac:dyDescent="0.25">
      <c r="A11" s="7">
        <f>+MATCH(B11,WTG!$B$3:$B$16,0)</f>
        <v>9</v>
      </c>
      <c r="B11" s="4" t="str">
        <f>+WTG!B11</f>
        <v>N149/5.X</v>
      </c>
      <c r="C11" s="13">
        <v>149.1</v>
      </c>
    </row>
    <row r="12" spans="1:3" x14ac:dyDescent="0.25">
      <c r="A12" s="7">
        <f>+MATCH(B12,WTG!$B$3:$B$16,0)</f>
        <v>10</v>
      </c>
      <c r="B12" s="4" t="str">
        <f>+WTG!B12</f>
        <v>N163/5.X</v>
      </c>
      <c r="C12" s="13">
        <v>149.1</v>
      </c>
    </row>
    <row r="13" spans="1:3" x14ac:dyDescent="0.25">
      <c r="A13" s="7">
        <f>+MATCH(B13,WTG!$B$3:$B$16,0)</f>
        <v>11</v>
      </c>
      <c r="B13" s="4" t="str">
        <f>+WTG!B13</f>
        <v>N163/6.X</v>
      </c>
      <c r="C13" s="13">
        <v>149.1</v>
      </c>
    </row>
    <row r="14" spans="1:3" x14ac:dyDescent="0.25">
      <c r="A14" s="7">
        <f>+MATCH(B14,WTG!$B$3:$B$16,0)</f>
        <v>12</v>
      </c>
      <c r="B14" s="4" t="str">
        <f>+WTG!B14</f>
        <v>N175/6.X</v>
      </c>
      <c r="C14" s="7">
        <v>175</v>
      </c>
    </row>
    <row r="15" spans="1:3" x14ac:dyDescent="0.25">
      <c r="A15" s="7">
        <f>+MATCH(B15,WTG!$B$3:$B$16,0)</f>
        <v>13</v>
      </c>
      <c r="B15" s="4" t="str">
        <f>+WTG!B15</f>
        <v>N155/4.X</v>
      </c>
      <c r="C15" s="7">
        <v>155</v>
      </c>
    </row>
    <row r="16" spans="1:3" x14ac:dyDescent="0.25">
      <c r="A16" s="7">
        <f>+MATCH(B16,WTG!$B$3:$B$16,0)</f>
        <v>14</v>
      </c>
      <c r="B16" s="4" t="s">
        <v>56</v>
      </c>
      <c r="C16" s="7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C009-23AD-4E75-8C1E-738DC5A9719E}">
  <dimension ref="A1:BE50"/>
  <sheetViews>
    <sheetView tabSelected="1" zoomScale="115" zoomScaleNormal="115" workbookViewId="0">
      <pane xSplit="2" ySplit="2" topLeftCell="AJ31" activePane="bottomRight" state="frozen"/>
      <selection pane="topRight" activeCell="C1" sqref="C1"/>
      <selection pane="bottomLeft" activeCell="A3" sqref="A3"/>
      <selection pane="bottomRight" activeCell="AU55" sqref="AU55"/>
    </sheetView>
  </sheetViews>
  <sheetFormatPr baseColWidth="10" defaultRowHeight="15" x14ac:dyDescent="0.25"/>
  <cols>
    <col min="3" max="3" width="10.140625" bestFit="1" customWidth="1"/>
    <col min="4" max="27" width="11.42578125" customWidth="1"/>
    <col min="28" max="32" width="11.28515625" customWidth="1"/>
    <col min="34" max="38" width="11.28515625" customWidth="1"/>
    <col min="40" max="44" width="11.28515625" customWidth="1"/>
    <col min="46" max="46" width="17.7109375" customWidth="1"/>
    <col min="51" max="51" width="9.5703125" customWidth="1"/>
    <col min="56" max="56" width="13.5703125" customWidth="1"/>
  </cols>
  <sheetData>
    <row r="1" spans="1:57" ht="15.75" thickBot="1" x14ac:dyDescent="0.3">
      <c r="D1" s="69" t="s">
        <v>62</v>
      </c>
      <c r="E1" s="70"/>
      <c r="F1" s="70"/>
      <c r="G1" s="71"/>
      <c r="H1" s="74" t="s">
        <v>85</v>
      </c>
      <c r="I1" s="75"/>
      <c r="J1" s="75"/>
      <c r="K1" s="76"/>
      <c r="L1" s="69" t="s">
        <v>86</v>
      </c>
      <c r="M1" s="70"/>
      <c r="N1" s="70"/>
      <c r="O1" s="71"/>
      <c r="P1" s="74" t="s">
        <v>97</v>
      </c>
      <c r="Q1" s="75"/>
      <c r="R1" s="75"/>
      <c r="S1" s="76"/>
      <c r="T1" s="69" t="s">
        <v>98</v>
      </c>
      <c r="U1" s="70"/>
      <c r="V1" s="70"/>
      <c r="W1" s="71"/>
      <c r="X1" s="74" t="s">
        <v>99</v>
      </c>
      <c r="Y1" s="75"/>
      <c r="Z1" s="75"/>
      <c r="AA1" s="76"/>
      <c r="AB1" s="19" t="s">
        <v>72</v>
      </c>
      <c r="AC1" s="31"/>
      <c r="AD1" s="32"/>
      <c r="AE1" s="19" t="s">
        <v>92</v>
      </c>
      <c r="AF1" s="20"/>
      <c r="AG1" s="21"/>
      <c r="AH1" s="19" t="s">
        <v>93</v>
      </c>
      <c r="AI1" s="31"/>
      <c r="AJ1" s="32"/>
      <c r="AK1" s="19" t="s">
        <v>94</v>
      </c>
      <c r="AL1" s="20"/>
      <c r="AM1" s="21"/>
      <c r="AN1" s="26" t="s">
        <v>95</v>
      </c>
      <c r="AO1" s="31"/>
      <c r="AP1" s="32"/>
      <c r="AQ1" s="26" t="s">
        <v>96</v>
      </c>
      <c r="AR1" s="20"/>
      <c r="AS1" s="21"/>
      <c r="AT1" t="s">
        <v>100</v>
      </c>
      <c r="AU1" s="72" t="s">
        <v>67</v>
      </c>
      <c r="AV1" s="72"/>
      <c r="AW1" s="73" t="s">
        <v>68</v>
      </c>
      <c r="AX1" s="73"/>
    </row>
    <row r="2" spans="1:57" ht="30" x14ac:dyDescent="0.25">
      <c r="A2" t="s">
        <v>81</v>
      </c>
      <c r="C2" s="1" t="s">
        <v>87</v>
      </c>
      <c r="D2" s="35" t="s">
        <v>63</v>
      </c>
      <c r="E2" s="17" t="s">
        <v>64</v>
      </c>
      <c r="F2" s="17" t="s">
        <v>65</v>
      </c>
      <c r="G2" s="36" t="s">
        <v>66</v>
      </c>
      <c r="H2" s="37" t="s">
        <v>63</v>
      </c>
      <c r="I2" s="7" t="s">
        <v>64</v>
      </c>
      <c r="J2" s="7" t="s">
        <v>65</v>
      </c>
      <c r="K2" s="38" t="s">
        <v>66</v>
      </c>
      <c r="L2" s="39" t="s">
        <v>63</v>
      </c>
      <c r="M2" s="14" t="s">
        <v>64</v>
      </c>
      <c r="N2" s="14" t="s">
        <v>65</v>
      </c>
      <c r="O2" s="40" t="s">
        <v>66</v>
      </c>
      <c r="P2" s="27" t="s">
        <v>63</v>
      </c>
      <c r="Q2" t="s">
        <v>64</v>
      </c>
      <c r="R2" t="s">
        <v>65</v>
      </c>
      <c r="S2" s="28" t="s">
        <v>66</v>
      </c>
      <c r="T2" s="22" t="s">
        <v>63</v>
      </c>
      <c r="U2" s="15" t="s">
        <v>64</v>
      </c>
      <c r="V2" s="15" t="s">
        <v>65</v>
      </c>
      <c r="W2" s="23" t="s">
        <v>66</v>
      </c>
      <c r="X2" s="27" t="s">
        <v>63</v>
      </c>
      <c r="Y2" t="s">
        <v>64</v>
      </c>
      <c r="Z2" t="s">
        <v>65</v>
      </c>
      <c r="AA2" s="28" t="s">
        <v>66</v>
      </c>
      <c r="AB2" s="22" t="s">
        <v>69</v>
      </c>
      <c r="AC2" s="15" t="s">
        <v>70</v>
      </c>
      <c r="AD2" s="23" t="s">
        <v>71</v>
      </c>
      <c r="AE2" s="27" t="s">
        <v>69</v>
      </c>
      <c r="AF2" t="s">
        <v>70</v>
      </c>
      <c r="AG2" s="28" t="s">
        <v>71</v>
      </c>
      <c r="AH2" s="22" t="s">
        <v>69</v>
      </c>
      <c r="AI2" s="15" t="s">
        <v>70</v>
      </c>
      <c r="AJ2" s="23" t="s">
        <v>71</v>
      </c>
      <c r="AK2" s="22" t="s">
        <v>69</v>
      </c>
      <c r="AL2" s="15" t="s">
        <v>70</v>
      </c>
      <c r="AM2" s="23" t="s">
        <v>71</v>
      </c>
      <c r="AN2" s="22" t="s">
        <v>69</v>
      </c>
      <c r="AO2" s="15" t="s">
        <v>70</v>
      </c>
      <c r="AP2" s="23" t="s">
        <v>71</v>
      </c>
      <c r="AQ2" s="27" t="s">
        <v>69</v>
      </c>
      <c r="AR2" t="s">
        <v>70</v>
      </c>
      <c r="AS2" s="28" t="s">
        <v>71</v>
      </c>
      <c r="AU2" s="15" t="s">
        <v>0</v>
      </c>
      <c r="AV2" s="15" t="s">
        <v>1</v>
      </c>
      <c r="AW2" t="s">
        <v>0</v>
      </c>
      <c r="AX2" t="s">
        <v>1</v>
      </c>
      <c r="AY2" s="41" t="s">
        <v>83</v>
      </c>
      <c r="AZ2" s="42" t="s">
        <v>84</v>
      </c>
      <c r="BA2" s="42" t="s">
        <v>88</v>
      </c>
      <c r="BB2" s="42" t="s">
        <v>89</v>
      </c>
      <c r="BC2" s="42" t="s">
        <v>90</v>
      </c>
      <c r="BD2" s="42" t="s">
        <v>91</v>
      </c>
      <c r="BE2" s="43" t="s">
        <v>101</v>
      </c>
    </row>
    <row r="3" spans="1:57" x14ac:dyDescent="0.25">
      <c r="A3">
        <v>1</v>
      </c>
      <c r="B3" s="7" t="s">
        <v>7</v>
      </c>
      <c r="C3" s="29">
        <v>6</v>
      </c>
      <c r="D3" s="33">
        <v>-160.64500000000001</v>
      </c>
      <c r="E3" s="16">
        <v>-21</v>
      </c>
      <c r="F3" s="16">
        <v>38.064999999999998</v>
      </c>
      <c r="G3" s="34">
        <v>-15</v>
      </c>
      <c r="H3" s="24">
        <v>-147.5</v>
      </c>
      <c r="I3" s="6">
        <v>-15</v>
      </c>
      <c r="J3" s="6">
        <v>-50.55</v>
      </c>
      <c r="K3" s="25">
        <v>0</v>
      </c>
      <c r="L3" s="33">
        <v>-71.5</v>
      </c>
      <c r="M3" s="16">
        <v>-40</v>
      </c>
      <c r="N3" s="16">
        <v>4.5</v>
      </c>
      <c r="O3" s="34">
        <v>-25</v>
      </c>
      <c r="P3" s="24">
        <v>-71.5</v>
      </c>
      <c r="Q3" s="6">
        <v>-25</v>
      </c>
      <c r="R3" s="6">
        <v>4.5</v>
      </c>
      <c r="S3" s="25">
        <v>-21</v>
      </c>
      <c r="T3" s="33">
        <v>-50.5</v>
      </c>
      <c r="U3" s="16">
        <v>-15</v>
      </c>
      <c r="V3" s="16">
        <v>-5.5</v>
      </c>
      <c r="W3" s="34">
        <v>8.1199999999999992</v>
      </c>
      <c r="X3" s="24">
        <v>-50.55</v>
      </c>
      <c r="Y3" s="6">
        <v>8</v>
      </c>
      <c r="Z3" s="6">
        <v>-29.501000000000001</v>
      </c>
      <c r="AA3" s="25">
        <v>20</v>
      </c>
      <c r="AB3" s="33">
        <v>-8.7479999999999993</v>
      </c>
      <c r="AC3" s="16">
        <v>9.6300000000000008</v>
      </c>
      <c r="AD3" s="34">
        <v>4.5999999999999996</v>
      </c>
      <c r="AE3" s="24">
        <v>0</v>
      </c>
      <c r="AF3" s="6">
        <v>10.173</v>
      </c>
      <c r="AG3" s="25">
        <v>4</v>
      </c>
      <c r="AH3" s="33">
        <v>-1.9</v>
      </c>
      <c r="AI3" s="16">
        <v>-9.7279999999999998</v>
      </c>
      <c r="AJ3" s="34">
        <v>3.7</v>
      </c>
      <c r="AK3" s="24">
        <v>5.19</v>
      </c>
      <c r="AL3" s="6">
        <v>-7.65</v>
      </c>
      <c r="AM3" s="25">
        <v>3.2</v>
      </c>
      <c r="AN3" s="33"/>
      <c r="AO3" s="16"/>
      <c r="AP3" s="34"/>
      <c r="AQ3" s="24"/>
      <c r="AR3" s="6"/>
      <c r="AS3" s="25"/>
      <c r="AT3" s="18">
        <v>5.5</v>
      </c>
      <c r="AU3" s="16">
        <f t="shared" ref="AU3:AU28" si="0">+D3</f>
        <v>-160.64500000000001</v>
      </c>
      <c r="AV3" s="16">
        <f t="shared" ref="AV3:AV28" si="1">-C3/2+E3</f>
        <v>-24</v>
      </c>
      <c r="AW3" s="6">
        <f t="shared" ref="AW3:AW28" si="2">+F3</f>
        <v>38.064999999999998</v>
      </c>
      <c r="AX3" s="29">
        <f t="shared" ref="AX3:AX28" si="3">-C3/2+E3</f>
        <v>-24</v>
      </c>
      <c r="AY3" s="44">
        <f t="shared" ref="AY3:AY30" si="4">+ABS((D3-F3)*(E3-G3))</f>
        <v>1192.26</v>
      </c>
      <c r="AZ3" s="45">
        <f t="shared" ref="AZ3:AZ30" si="5">+ABS((H3-J3)*(I3-K3))</f>
        <v>1454.25</v>
      </c>
      <c r="BA3" s="45">
        <f t="shared" ref="BA3:BA30" si="6">+ABS((L3-N3)*(M3-O3))</f>
        <v>1140</v>
      </c>
      <c r="BB3" s="45">
        <f t="shared" ref="BB3:BB30" si="7">+(P3-R3)*(Q3-S3)</f>
        <v>304</v>
      </c>
      <c r="BC3" s="45">
        <f t="shared" ref="BC3:BC30" si="8">+ABS((T3-V3)*(U3-W3))+ABS((X3-Z3)*(Y3-AA3))</f>
        <v>1292.9879999999998</v>
      </c>
      <c r="BD3" s="45">
        <f t="shared" ref="BD3:BD30" si="9">+PI()*((AD3+3)^2+(AG3+3)^2+(AJ3+3)^2+(AM3+3)^2+(AP3+3)^2+(AS3+3)^2)</f>
        <v>653.73401528549994</v>
      </c>
      <c r="BE3" s="46">
        <f t="shared" ref="BE3:BE30" si="10">+SUM(AY3:BD3)</f>
        <v>6037.2320152854991</v>
      </c>
    </row>
    <row r="4" spans="1:57" x14ac:dyDescent="0.25">
      <c r="A4">
        <f>+A3+1</f>
        <v>2</v>
      </c>
      <c r="B4" s="7" t="s">
        <v>6</v>
      </c>
      <c r="C4" s="29">
        <v>6</v>
      </c>
      <c r="D4" s="33">
        <v>-160.64500000000001</v>
      </c>
      <c r="E4" s="16">
        <v>-21</v>
      </c>
      <c r="F4" s="16">
        <v>38.064999999999998</v>
      </c>
      <c r="G4" s="34">
        <v>-15</v>
      </c>
      <c r="H4" s="24">
        <v>-147.5</v>
      </c>
      <c r="I4" s="6">
        <v>-15</v>
      </c>
      <c r="J4" s="6">
        <v>-50.55</v>
      </c>
      <c r="K4" s="25">
        <v>0</v>
      </c>
      <c r="L4" s="33">
        <v>-71.5</v>
      </c>
      <c r="M4" s="16">
        <v>-40</v>
      </c>
      <c r="N4" s="16">
        <v>4.5</v>
      </c>
      <c r="O4" s="34">
        <v>-25</v>
      </c>
      <c r="P4" s="24">
        <v>-71.5</v>
      </c>
      <c r="Q4" s="6">
        <v>-25</v>
      </c>
      <c r="R4" s="6">
        <v>4.5</v>
      </c>
      <c r="S4" s="25">
        <v>-21</v>
      </c>
      <c r="T4" s="33">
        <v>-50.5</v>
      </c>
      <c r="U4" s="16">
        <v>-15</v>
      </c>
      <c r="V4" s="16">
        <v>-5.5</v>
      </c>
      <c r="W4" s="34">
        <v>8.1199999999999992</v>
      </c>
      <c r="X4" s="24">
        <v>-50.55</v>
      </c>
      <c r="Y4" s="6">
        <v>8</v>
      </c>
      <c r="Z4" s="6">
        <v>-29.501000000000001</v>
      </c>
      <c r="AA4" s="25">
        <v>20</v>
      </c>
      <c r="AB4" s="33">
        <v>-8.7479999999999993</v>
      </c>
      <c r="AC4" s="16">
        <v>9.6300000000000008</v>
      </c>
      <c r="AD4" s="34">
        <v>4.5999999999999996</v>
      </c>
      <c r="AE4" s="24">
        <v>0</v>
      </c>
      <c r="AF4" s="6">
        <v>10.173</v>
      </c>
      <c r="AG4" s="25">
        <v>4</v>
      </c>
      <c r="AH4" s="33">
        <v>-1.9</v>
      </c>
      <c r="AI4" s="16">
        <v>-9.7279999999999998</v>
      </c>
      <c r="AJ4" s="34">
        <v>3.7</v>
      </c>
      <c r="AK4" s="24">
        <v>5.19</v>
      </c>
      <c r="AL4" s="6">
        <v>-7.65</v>
      </c>
      <c r="AM4" s="25">
        <v>3.2</v>
      </c>
      <c r="AN4" s="33"/>
      <c r="AO4" s="16"/>
      <c r="AP4" s="34"/>
      <c r="AQ4" s="24"/>
      <c r="AR4" s="6"/>
      <c r="AS4" s="25"/>
      <c r="AT4" s="18">
        <v>5.5</v>
      </c>
      <c r="AU4" s="16">
        <f t="shared" si="0"/>
        <v>-160.64500000000001</v>
      </c>
      <c r="AV4" s="16">
        <f t="shared" si="1"/>
        <v>-24</v>
      </c>
      <c r="AW4" s="6">
        <f t="shared" si="2"/>
        <v>38.064999999999998</v>
      </c>
      <c r="AX4" s="29">
        <f t="shared" si="3"/>
        <v>-24</v>
      </c>
      <c r="AY4" s="44">
        <f t="shared" si="4"/>
        <v>1192.26</v>
      </c>
      <c r="AZ4" s="45">
        <f t="shared" si="5"/>
        <v>1454.25</v>
      </c>
      <c r="BA4" s="45">
        <f t="shared" si="6"/>
        <v>1140</v>
      </c>
      <c r="BB4" s="45">
        <f t="shared" si="7"/>
        <v>304</v>
      </c>
      <c r="BC4" s="45">
        <f t="shared" si="8"/>
        <v>1292.9879999999998</v>
      </c>
      <c r="BD4" s="45">
        <f t="shared" si="9"/>
        <v>653.73401528549994</v>
      </c>
      <c r="BE4" s="46">
        <f t="shared" si="10"/>
        <v>6037.2320152854991</v>
      </c>
    </row>
    <row r="5" spans="1:57" x14ac:dyDescent="0.25">
      <c r="A5">
        <f t="shared" ref="A5:A47" si="11">+A4+1</f>
        <v>3</v>
      </c>
      <c r="B5" s="7" t="s">
        <v>8</v>
      </c>
      <c r="C5" s="29">
        <v>6</v>
      </c>
      <c r="D5" s="33">
        <v>-160.64500000000001</v>
      </c>
      <c r="E5" s="16">
        <v>-21</v>
      </c>
      <c r="F5" s="16">
        <v>38.064999999999998</v>
      </c>
      <c r="G5" s="34">
        <v>-15</v>
      </c>
      <c r="H5" s="24">
        <v>-147.5</v>
      </c>
      <c r="I5" s="6">
        <v>-15</v>
      </c>
      <c r="J5" s="6">
        <v>-50.55</v>
      </c>
      <c r="K5" s="25">
        <v>0</v>
      </c>
      <c r="L5" s="33">
        <v>-71.5</v>
      </c>
      <c r="M5" s="16">
        <v>-40</v>
      </c>
      <c r="N5" s="16">
        <v>4.5</v>
      </c>
      <c r="O5" s="34">
        <v>-25</v>
      </c>
      <c r="P5" s="24">
        <v>-71.5</v>
      </c>
      <c r="Q5" s="6">
        <v>-25</v>
      </c>
      <c r="R5" s="6">
        <v>4.5</v>
      </c>
      <c r="S5" s="25">
        <v>-21</v>
      </c>
      <c r="T5" s="33">
        <v>-50.5</v>
      </c>
      <c r="U5" s="16">
        <v>-15</v>
      </c>
      <c r="V5" s="16">
        <v>-5.5</v>
      </c>
      <c r="W5" s="34">
        <v>8.1199999999999992</v>
      </c>
      <c r="X5" s="24">
        <v>-50.55</v>
      </c>
      <c r="Y5" s="6">
        <v>8</v>
      </c>
      <c r="Z5" s="6">
        <v>-29.501000000000001</v>
      </c>
      <c r="AA5" s="25">
        <v>20</v>
      </c>
      <c r="AB5" s="33">
        <v>-8.7479999999999993</v>
      </c>
      <c r="AC5" s="16">
        <v>9.6300000000000008</v>
      </c>
      <c r="AD5" s="34">
        <v>4.5999999999999996</v>
      </c>
      <c r="AE5" s="24">
        <v>0</v>
      </c>
      <c r="AF5" s="6">
        <v>10.173</v>
      </c>
      <c r="AG5" s="25">
        <v>4</v>
      </c>
      <c r="AH5" s="33">
        <v>-1.9</v>
      </c>
      <c r="AI5" s="16">
        <v>-9.7279999999999998</v>
      </c>
      <c r="AJ5" s="34">
        <v>3.7</v>
      </c>
      <c r="AK5" s="24">
        <v>5.19</v>
      </c>
      <c r="AL5" s="6">
        <v>-7.65</v>
      </c>
      <c r="AM5" s="25">
        <v>3.2</v>
      </c>
      <c r="AN5" s="33"/>
      <c r="AO5" s="16"/>
      <c r="AP5" s="34"/>
      <c r="AQ5" s="24"/>
      <c r="AR5" s="6"/>
      <c r="AS5" s="25"/>
      <c r="AT5" s="18">
        <v>5.5</v>
      </c>
      <c r="AU5" s="16">
        <f t="shared" si="0"/>
        <v>-160.64500000000001</v>
      </c>
      <c r="AV5" s="16">
        <f t="shared" si="1"/>
        <v>-24</v>
      </c>
      <c r="AW5" s="6">
        <f t="shared" si="2"/>
        <v>38.064999999999998</v>
      </c>
      <c r="AX5" s="29">
        <f t="shared" si="3"/>
        <v>-24</v>
      </c>
      <c r="AY5" s="44">
        <f t="shared" si="4"/>
        <v>1192.26</v>
      </c>
      <c r="AZ5" s="45">
        <f t="shared" si="5"/>
        <v>1454.25</v>
      </c>
      <c r="BA5" s="45">
        <f t="shared" si="6"/>
        <v>1140</v>
      </c>
      <c r="BB5" s="45">
        <f t="shared" si="7"/>
        <v>304</v>
      </c>
      <c r="BC5" s="45">
        <f t="shared" si="8"/>
        <v>1292.9879999999998</v>
      </c>
      <c r="BD5" s="45">
        <f t="shared" si="9"/>
        <v>653.73401528549994</v>
      </c>
      <c r="BE5" s="46">
        <f t="shared" si="10"/>
        <v>6037.2320152854991</v>
      </c>
    </row>
    <row r="6" spans="1:57" x14ac:dyDescent="0.25">
      <c r="A6">
        <f t="shared" si="11"/>
        <v>4</v>
      </c>
      <c r="B6" s="7" t="s">
        <v>9</v>
      </c>
      <c r="C6" s="29">
        <v>6</v>
      </c>
      <c r="D6" s="33">
        <v>-160.64500000000001</v>
      </c>
      <c r="E6" s="16">
        <v>-21</v>
      </c>
      <c r="F6" s="16">
        <v>38.064999999999998</v>
      </c>
      <c r="G6" s="34">
        <v>-15</v>
      </c>
      <c r="H6" s="24">
        <v>-147.5</v>
      </c>
      <c r="I6" s="6">
        <v>-15</v>
      </c>
      <c r="J6" s="6">
        <v>-50.55</v>
      </c>
      <c r="K6" s="25">
        <v>0</v>
      </c>
      <c r="L6" s="33">
        <v>-71.5</v>
      </c>
      <c r="M6" s="16">
        <v>-40</v>
      </c>
      <c r="N6" s="16">
        <v>4.5</v>
      </c>
      <c r="O6" s="34">
        <v>-25</v>
      </c>
      <c r="P6" s="24">
        <v>-71.5</v>
      </c>
      <c r="Q6" s="6">
        <v>-25</v>
      </c>
      <c r="R6" s="6">
        <v>4.5</v>
      </c>
      <c r="S6" s="25">
        <v>-21</v>
      </c>
      <c r="T6" s="33">
        <v>-50.5</v>
      </c>
      <c r="U6" s="16">
        <v>-15</v>
      </c>
      <c r="V6" s="16">
        <v>-5.5</v>
      </c>
      <c r="W6" s="34">
        <v>8.1199999999999992</v>
      </c>
      <c r="X6" s="24">
        <v>-50.55</v>
      </c>
      <c r="Y6" s="6">
        <v>8</v>
      </c>
      <c r="Z6" s="6">
        <v>-29.501000000000001</v>
      </c>
      <c r="AA6" s="25">
        <v>20</v>
      </c>
      <c r="AB6" s="33">
        <v>-8.7479999999999993</v>
      </c>
      <c r="AC6" s="16">
        <v>9.6300000000000008</v>
      </c>
      <c r="AD6" s="34">
        <v>4.5999999999999996</v>
      </c>
      <c r="AE6" s="24">
        <v>0</v>
      </c>
      <c r="AF6" s="6">
        <v>10.173</v>
      </c>
      <c r="AG6" s="25">
        <v>4</v>
      </c>
      <c r="AH6" s="33">
        <v>-1.9</v>
      </c>
      <c r="AI6" s="16">
        <v>-9.7279999999999998</v>
      </c>
      <c r="AJ6" s="34">
        <v>3.7</v>
      </c>
      <c r="AK6" s="24">
        <v>5.19</v>
      </c>
      <c r="AL6" s="6">
        <v>-7.65</v>
      </c>
      <c r="AM6" s="25">
        <v>3.2</v>
      </c>
      <c r="AN6" s="33"/>
      <c r="AO6" s="16"/>
      <c r="AP6" s="34"/>
      <c r="AQ6" s="24"/>
      <c r="AR6" s="6"/>
      <c r="AS6" s="25"/>
      <c r="AT6" s="18">
        <v>5.5</v>
      </c>
      <c r="AU6" s="16">
        <f t="shared" si="0"/>
        <v>-160.64500000000001</v>
      </c>
      <c r="AV6" s="16">
        <f t="shared" si="1"/>
        <v>-24</v>
      </c>
      <c r="AW6" s="6">
        <f t="shared" si="2"/>
        <v>38.064999999999998</v>
      </c>
      <c r="AX6" s="29">
        <f t="shared" si="3"/>
        <v>-24</v>
      </c>
      <c r="AY6" s="44">
        <f t="shared" si="4"/>
        <v>1192.26</v>
      </c>
      <c r="AZ6" s="45">
        <f t="shared" si="5"/>
        <v>1454.25</v>
      </c>
      <c r="BA6" s="45">
        <f t="shared" si="6"/>
        <v>1140</v>
      </c>
      <c r="BB6" s="45">
        <f t="shared" si="7"/>
        <v>304</v>
      </c>
      <c r="BC6" s="45">
        <f t="shared" si="8"/>
        <v>1292.9879999999998</v>
      </c>
      <c r="BD6" s="45">
        <f t="shared" si="9"/>
        <v>653.73401528549994</v>
      </c>
      <c r="BE6" s="46">
        <f t="shared" si="10"/>
        <v>6037.2320152854991</v>
      </c>
    </row>
    <row r="7" spans="1:57" x14ac:dyDescent="0.25">
      <c r="A7">
        <f t="shared" si="11"/>
        <v>5</v>
      </c>
      <c r="B7" s="7" t="s">
        <v>10</v>
      </c>
      <c r="C7" s="29">
        <v>6</v>
      </c>
      <c r="D7" s="33">
        <v>-160.64500000000001</v>
      </c>
      <c r="E7" s="16">
        <v>-21</v>
      </c>
      <c r="F7" s="16">
        <v>38.064999999999998</v>
      </c>
      <c r="G7" s="34">
        <v>-15</v>
      </c>
      <c r="H7" s="24">
        <v>-147.5</v>
      </c>
      <c r="I7" s="6">
        <v>-15</v>
      </c>
      <c r="J7" s="6">
        <v>-50.55</v>
      </c>
      <c r="K7" s="25">
        <v>0</v>
      </c>
      <c r="L7" s="33">
        <v>-71.5</v>
      </c>
      <c r="M7" s="16">
        <v>-40</v>
      </c>
      <c r="N7" s="16">
        <v>4.5</v>
      </c>
      <c r="O7" s="34">
        <v>-25</v>
      </c>
      <c r="P7" s="24">
        <v>-71.5</v>
      </c>
      <c r="Q7" s="6">
        <v>-25</v>
      </c>
      <c r="R7" s="6">
        <v>4.5</v>
      </c>
      <c r="S7" s="25">
        <v>-21</v>
      </c>
      <c r="T7" s="33">
        <v>-50.5</v>
      </c>
      <c r="U7" s="16">
        <v>-15</v>
      </c>
      <c r="V7" s="16">
        <v>-5.5</v>
      </c>
      <c r="W7" s="34">
        <v>8.1199999999999992</v>
      </c>
      <c r="X7" s="24">
        <v>-50.55</v>
      </c>
      <c r="Y7" s="6">
        <v>8</v>
      </c>
      <c r="Z7" s="6">
        <v>-29.501000000000001</v>
      </c>
      <c r="AA7" s="25">
        <v>20</v>
      </c>
      <c r="AB7" s="33">
        <v>-8.7479999999999993</v>
      </c>
      <c r="AC7" s="16">
        <v>9.6300000000000008</v>
      </c>
      <c r="AD7" s="34">
        <v>4.5999999999999996</v>
      </c>
      <c r="AE7" s="24">
        <v>0</v>
      </c>
      <c r="AF7" s="6">
        <v>10.173</v>
      </c>
      <c r="AG7" s="25">
        <v>4</v>
      </c>
      <c r="AH7" s="33">
        <v>-1.9</v>
      </c>
      <c r="AI7" s="16">
        <v>-9.7279999999999998</v>
      </c>
      <c r="AJ7" s="34">
        <v>3.7</v>
      </c>
      <c r="AK7" s="24">
        <v>5.19</v>
      </c>
      <c r="AL7" s="6">
        <v>-7.65</v>
      </c>
      <c r="AM7" s="25">
        <v>3.2</v>
      </c>
      <c r="AN7" s="33"/>
      <c r="AO7" s="16"/>
      <c r="AP7" s="34"/>
      <c r="AQ7" s="24"/>
      <c r="AR7" s="6"/>
      <c r="AS7" s="25"/>
      <c r="AT7" s="18">
        <v>5.5</v>
      </c>
      <c r="AU7" s="16">
        <f t="shared" si="0"/>
        <v>-160.64500000000001</v>
      </c>
      <c r="AV7" s="16">
        <f t="shared" si="1"/>
        <v>-24</v>
      </c>
      <c r="AW7" s="6">
        <f t="shared" si="2"/>
        <v>38.064999999999998</v>
      </c>
      <c r="AX7" s="29">
        <f t="shared" si="3"/>
        <v>-24</v>
      </c>
      <c r="AY7" s="44">
        <f t="shared" si="4"/>
        <v>1192.26</v>
      </c>
      <c r="AZ7" s="45">
        <f t="shared" si="5"/>
        <v>1454.25</v>
      </c>
      <c r="BA7" s="45">
        <f t="shared" si="6"/>
        <v>1140</v>
      </c>
      <c r="BB7" s="45">
        <f t="shared" si="7"/>
        <v>304</v>
      </c>
      <c r="BC7" s="45">
        <f t="shared" si="8"/>
        <v>1292.9879999999998</v>
      </c>
      <c r="BD7" s="45">
        <f t="shared" si="9"/>
        <v>653.73401528549994</v>
      </c>
      <c r="BE7" s="46">
        <f t="shared" si="10"/>
        <v>6037.2320152854991</v>
      </c>
    </row>
    <row r="8" spans="1:57" x14ac:dyDescent="0.25">
      <c r="A8">
        <f t="shared" si="11"/>
        <v>6</v>
      </c>
      <c r="B8" s="7" t="s">
        <v>11</v>
      </c>
      <c r="C8" s="29">
        <v>6</v>
      </c>
      <c r="D8" s="33">
        <v>-160.64500000000001</v>
      </c>
      <c r="E8" s="16">
        <v>-21</v>
      </c>
      <c r="F8" s="16">
        <v>38.064999999999998</v>
      </c>
      <c r="G8" s="34">
        <v>-15</v>
      </c>
      <c r="H8" s="24">
        <v>-147.5</v>
      </c>
      <c r="I8" s="6">
        <v>-15</v>
      </c>
      <c r="J8" s="6">
        <v>-50.55</v>
      </c>
      <c r="K8" s="25">
        <v>0</v>
      </c>
      <c r="L8" s="33">
        <v>-71.5</v>
      </c>
      <c r="M8" s="16">
        <v>-40</v>
      </c>
      <c r="N8" s="16">
        <v>4.5</v>
      </c>
      <c r="O8" s="34">
        <v>-25</v>
      </c>
      <c r="P8" s="24">
        <v>-71.5</v>
      </c>
      <c r="Q8" s="6">
        <v>-25</v>
      </c>
      <c r="R8" s="6">
        <v>4.5</v>
      </c>
      <c r="S8" s="25">
        <v>-21</v>
      </c>
      <c r="T8" s="33">
        <v>-50.5</v>
      </c>
      <c r="U8" s="16">
        <v>-15</v>
      </c>
      <c r="V8" s="16">
        <v>-5.5</v>
      </c>
      <c r="W8" s="34">
        <v>8.1199999999999992</v>
      </c>
      <c r="X8" s="24">
        <v>-50.55</v>
      </c>
      <c r="Y8" s="6">
        <v>8</v>
      </c>
      <c r="Z8" s="6">
        <v>-29.501000000000001</v>
      </c>
      <c r="AA8" s="25">
        <v>20</v>
      </c>
      <c r="AB8" s="33">
        <v>-8.7479999999999993</v>
      </c>
      <c r="AC8" s="16">
        <v>9.6300000000000008</v>
      </c>
      <c r="AD8" s="34">
        <v>4.5999999999999996</v>
      </c>
      <c r="AE8" s="24">
        <v>0</v>
      </c>
      <c r="AF8" s="6">
        <v>10.173</v>
      </c>
      <c r="AG8" s="25">
        <v>4</v>
      </c>
      <c r="AH8" s="33">
        <v>-1.9</v>
      </c>
      <c r="AI8" s="16">
        <v>-9.7279999999999998</v>
      </c>
      <c r="AJ8" s="34">
        <v>3.7</v>
      </c>
      <c r="AK8" s="24">
        <v>5.19</v>
      </c>
      <c r="AL8" s="6">
        <v>-7.65</v>
      </c>
      <c r="AM8" s="25">
        <v>3.2</v>
      </c>
      <c r="AN8" s="33"/>
      <c r="AO8" s="16"/>
      <c r="AP8" s="34"/>
      <c r="AQ8" s="24"/>
      <c r="AR8" s="6"/>
      <c r="AS8" s="25"/>
      <c r="AT8" s="18">
        <v>5.5</v>
      </c>
      <c r="AU8" s="16">
        <f t="shared" si="0"/>
        <v>-160.64500000000001</v>
      </c>
      <c r="AV8" s="16">
        <f t="shared" si="1"/>
        <v>-24</v>
      </c>
      <c r="AW8" s="6">
        <f t="shared" si="2"/>
        <v>38.064999999999998</v>
      </c>
      <c r="AX8" s="29">
        <f t="shared" si="3"/>
        <v>-24</v>
      </c>
      <c r="AY8" s="44">
        <f t="shared" si="4"/>
        <v>1192.26</v>
      </c>
      <c r="AZ8" s="45">
        <f t="shared" si="5"/>
        <v>1454.25</v>
      </c>
      <c r="BA8" s="45">
        <f t="shared" si="6"/>
        <v>1140</v>
      </c>
      <c r="BB8" s="45">
        <f t="shared" si="7"/>
        <v>304</v>
      </c>
      <c r="BC8" s="45">
        <f t="shared" si="8"/>
        <v>1292.9879999999998</v>
      </c>
      <c r="BD8" s="45">
        <f t="shared" si="9"/>
        <v>653.73401528549994</v>
      </c>
      <c r="BE8" s="46">
        <f t="shared" si="10"/>
        <v>6037.2320152854991</v>
      </c>
    </row>
    <row r="9" spans="1:57" x14ac:dyDescent="0.25">
      <c r="A9">
        <f t="shared" si="11"/>
        <v>7</v>
      </c>
      <c r="B9" s="7" t="s">
        <v>12</v>
      </c>
      <c r="C9" s="29">
        <v>6</v>
      </c>
      <c r="D9" s="33">
        <v>-160.64500000000001</v>
      </c>
      <c r="E9" s="16">
        <v>-21</v>
      </c>
      <c r="F9" s="16">
        <v>38.064999999999998</v>
      </c>
      <c r="G9" s="34">
        <v>-15</v>
      </c>
      <c r="H9" s="24">
        <v>-147.5</v>
      </c>
      <c r="I9" s="6">
        <v>-15</v>
      </c>
      <c r="J9" s="6">
        <v>-50.55</v>
      </c>
      <c r="K9" s="25">
        <v>0</v>
      </c>
      <c r="L9" s="33">
        <v>-71.5</v>
      </c>
      <c r="M9" s="16">
        <v>-40</v>
      </c>
      <c r="N9" s="16">
        <v>4.5</v>
      </c>
      <c r="O9" s="34">
        <v>-25</v>
      </c>
      <c r="P9" s="24">
        <v>-71.5</v>
      </c>
      <c r="Q9" s="6">
        <v>-25</v>
      </c>
      <c r="R9" s="6">
        <v>4.5</v>
      </c>
      <c r="S9" s="25">
        <v>-21</v>
      </c>
      <c r="T9" s="33">
        <v>-50.5</v>
      </c>
      <c r="U9" s="16">
        <v>-15</v>
      </c>
      <c r="V9" s="16">
        <v>-5.5</v>
      </c>
      <c r="W9" s="34">
        <v>8.1199999999999992</v>
      </c>
      <c r="X9" s="24">
        <v>-50.55</v>
      </c>
      <c r="Y9" s="6">
        <v>8</v>
      </c>
      <c r="Z9" s="6">
        <v>-29.501000000000001</v>
      </c>
      <c r="AA9" s="25">
        <v>20</v>
      </c>
      <c r="AB9" s="33">
        <v>-8.7479999999999993</v>
      </c>
      <c r="AC9" s="16">
        <v>9.6300000000000008</v>
      </c>
      <c r="AD9" s="34">
        <v>4.5999999999999996</v>
      </c>
      <c r="AE9" s="24">
        <v>0</v>
      </c>
      <c r="AF9" s="6">
        <v>10.173</v>
      </c>
      <c r="AG9" s="25">
        <v>4</v>
      </c>
      <c r="AH9" s="33">
        <v>-1.9</v>
      </c>
      <c r="AI9" s="16">
        <v>-9.7279999999999998</v>
      </c>
      <c r="AJ9" s="34">
        <v>3.7</v>
      </c>
      <c r="AK9" s="24">
        <v>5.19</v>
      </c>
      <c r="AL9" s="6">
        <v>-7.65</v>
      </c>
      <c r="AM9" s="25">
        <v>3.2</v>
      </c>
      <c r="AN9" s="33"/>
      <c r="AO9" s="16"/>
      <c r="AP9" s="34"/>
      <c r="AQ9" s="24"/>
      <c r="AR9" s="6"/>
      <c r="AS9" s="25"/>
      <c r="AT9" s="18">
        <v>5.5</v>
      </c>
      <c r="AU9" s="16">
        <f t="shared" si="0"/>
        <v>-160.64500000000001</v>
      </c>
      <c r="AV9" s="16">
        <f t="shared" si="1"/>
        <v>-24</v>
      </c>
      <c r="AW9" s="6">
        <f t="shared" si="2"/>
        <v>38.064999999999998</v>
      </c>
      <c r="AX9" s="29">
        <f t="shared" si="3"/>
        <v>-24</v>
      </c>
      <c r="AY9" s="44">
        <f t="shared" si="4"/>
        <v>1192.26</v>
      </c>
      <c r="AZ9" s="45">
        <f t="shared" si="5"/>
        <v>1454.25</v>
      </c>
      <c r="BA9" s="45">
        <f t="shared" si="6"/>
        <v>1140</v>
      </c>
      <c r="BB9" s="45">
        <f t="shared" si="7"/>
        <v>304</v>
      </c>
      <c r="BC9" s="45">
        <f t="shared" si="8"/>
        <v>1292.9879999999998</v>
      </c>
      <c r="BD9" s="45">
        <f t="shared" si="9"/>
        <v>653.73401528549994</v>
      </c>
      <c r="BE9" s="46">
        <f t="shared" si="10"/>
        <v>6037.2320152854991</v>
      </c>
    </row>
    <row r="10" spans="1:57" x14ac:dyDescent="0.25">
      <c r="A10">
        <f t="shared" si="11"/>
        <v>8</v>
      </c>
      <c r="B10" s="7" t="s">
        <v>15</v>
      </c>
      <c r="C10" s="29">
        <v>6</v>
      </c>
      <c r="D10" s="33">
        <v>-160.64500000000001</v>
      </c>
      <c r="E10" s="16">
        <v>-21</v>
      </c>
      <c r="F10" s="16">
        <v>38.064999999999998</v>
      </c>
      <c r="G10" s="34">
        <v>-15</v>
      </c>
      <c r="H10" s="24">
        <v>-147.5</v>
      </c>
      <c r="I10" s="6">
        <v>-15</v>
      </c>
      <c r="J10" s="6">
        <v>-50.55</v>
      </c>
      <c r="K10" s="25">
        <v>0</v>
      </c>
      <c r="L10" s="33">
        <v>-71.5</v>
      </c>
      <c r="M10" s="16">
        <v>-40</v>
      </c>
      <c r="N10" s="16">
        <v>4.5</v>
      </c>
      <c r="O10" s="34">
        <v>-25</v>
      </c>
      <c r="P10" s="24">
        <v>-71.5</v>
      </c>
      <c r="Q10" s="6">
        <v>-25</v>
      </c>
      <c r="R10" s="6">
        <v>4.5</v>
      </c>
      <c r="S10" s="25">
        <v>-21</v>
      </c>
      <c r="T10" s="33">
        <v>-50.5</v>
      </c>
      <c r="U10" s="16">
        <v>-15</v>
      </c>
      <c r="V10" s="16">
        <v>-5.5</v>
      </c>
      <c r="W10" s="34">
        <v>8.1199999999999992</v>
      </c>
      <c r="X10" s="24">
        <v>-50.55</v>
      </c>
      <c r="Y10" s="6">
        <v>8</v>
      </c>
      <c r="Z10" s="6">
        <v>-29.501000000000001</v>
      </c>
      <c r="AA10" s="25">
        <v>20</v>
      </c>
      <c r="AB10" s="33">
        <v>-8.7479999999999993</v>
      </c>
      <c r="AC10" s="16">
        <v>9.6300000000000008</v>
      </c>
      <c r="AD10" s="34">
        <v>4.5999999999999996</v>
      </c>
      <c r="AE10" s="24">
        <v>0</v>
      </c>
      <c r="AF10" s="6">
        <v>10.173</v>
      </c>
      <c r="AG10" s="25">
        <v>4</v>
      </c>
      <c r="AH10" s="33">
        <v>-1.9</v>
      </c>
      <c r="AI10" s="16">
        <v>-9.7279999999999998</v>
      </c>
      <c r="AJ10" s="34">
        <v>3.7</v>
      </c>
      <c r="AK10" s="24">
        <v>5.19</v>
      </c>
      <c r="AL10" s="6">
        <v>-7.65</v>
      </c>
      <c r="AM10" s="25">
        <v>3.2</v>
      </c>
      <c r="AN10" s="33"/>
      <c r="AO10" s="16"/>
      <c r="AP10" s="34"/>
      <c r="AQ10" s="24"/>
      <c r="AR10" s="6"/>
      <c r="AS10" s="25"/>
      <c r="AT10" s="18">
        <v>5.5</v>
      </c>
      <c r="AU10" s="16">
        <f t="shared" si="0"/>
        <v>-160.64500000000001</v>
      </c>
      <c r="AV10" s="16">
        <f t="shared" si="1"/>
        <v>-24</v>
      </c>
      <c r="AW10" s="6">
        <f t="shared" si="2"/>
        <v>38.064999999999998</v>
      </c>
      <c r="AX10" s="29">
        <f t="shared" si="3"/>
        <v>-24</v>
      </c>
      <c r="AY10" s="44">
        <f t="shared" si="4"/>
        <v>1192.26</v>
      </c>
      <c r="AZ10" s="45">
        <f t="shared" si="5"/>
        <v>1454.25</v>
      </c>
      <c r="BA10" s="45">
        <f t="shared" si="6"/>
        <v>1140</v>
      </c>
      <c r="BB10" s="45">
        <f t="shared" si="7"/>
        <v>304</v>
      </c>
      <c r="BC10" s="45">
        <f t="shared" si="8"/>
        <v>1292.9879999999998</v>
      </c>
      <c r="BD10" s="45">
        <f t="shared" si="9"/>
        <v>653.73401528549994</v>
      </c>
      <c r="BE10" s="46">
        <f t="shared" si="10"/>
        <v>6037.2320152854991</v>
      </c>
    </row>
    <row r="11" spans="1:57" x14ac:dyDescent="0.25">
      <c r="A11">
        <f t="shared" si="11"/>
        <v>9</v>
      </c>
      <c r="B11" s="7" t="s">
        <v>16</v>
      </c>
      <c r="C11" s="29">
        <v>6</v>
      </c>
      <c r="D11" s="33">
        <v>-160.64500000000001</v>
      </c>
      <c r="E11" s="16">
        <v>-21</v>
      </c>
      <c r="F11" s="16">
        <v>38.064999999999998</v>
      </c>
      <c r="G11" s="34">
        <v>-15</v>
      </c>
      <c r="H11" s="24">
        <v>-147.5</v>
      </c>
      <c r="I11" s="6">
        <v>-15</v>
      </c>
      <c r="J11" s="6">
        <v>-50.55</v>
      </c>
      <c r="K11" s="25">
        <v>0</v>
      </c>
      <c r="L11" s="33">
        <v>-71.5</v>
      </c>
      <c r="M11" s="16">
        <v>-40</v>
      </c>
      <c r="N11" s="16">
        <v>4.5</v>
      </c>
      <c r="O11" s="34">
        <v>-25</v>
      </c>
      <c r="P11" s="24">
        <v>-71.5</v>
      </c>
      <c r="Q11" s="6">
        <v>-25</v>
      </c>
      <c r="R11" s="6">
        <v>4.5</v>
      </c>
      <c r="S11" s="25">
        <v>-21</v>
      </c>
      <c r="T11" s="33">
        <v>-50.5</v>
      </c>
      <c r="U11" s="16">
        <v>-15</v>
      </c>
      <c r="V11" s="16">
        <v>-5.5</v>
      </c>
      <c r="W11" s="34">
        <v>8.1199999999999992</v>
      </c>
      <c r="X11" s="24">
        <v>-50.55</v>
      </c>
      <c r="Y11" s="6">
        <v>8</v>
      </c>
      <c r="Z11" s="6">
        <v>-29.501000000000001</v>
      </c>
      <c r="AA11" s="25">
        <v>20</v>
      </c>
      <c r="AB11" s="33">
        <v>-8.7479999999999993</v>
      </c>
      <c r="AC11" s="16">
        <v>9.6300000000000008</v>
      </c>
      <c r="AD11" s="34">
        <v>4.5999999999999996</v>
      </c>
      <c r="AE11" s="24">
        <v>0</v>
      </c>
      <c r="AF11" s="6">
        <v>10.173</v>
      </c>
      <c r="AG11" s="25">
        <v>4</v>
      </c>
      <c r="AH11" s="33">
        <v>-1.9</v>
      </c>
      <c r="AI11" s="16">
        <v>-9.7279999999999998</v>
      </c>
      <c r="AJ11" s="34">
        <v>3.7</v>
      </c>
      <c r="AK11" s="24">
        <v>5.19</v>
      </c>
      <c r="AL11" s="6">
        <v>-7.65</v>
      </c>
      <c r="AM11" s="25">
        <v>3.2</v>
      </c>
      <c r="AN11" s="33"/>
      <c r="AO11" s="16"/>
      <c r="AP11" s="34"/>
      <c r="AQ11" s="24"/>
      <c r="AR11" s="6"/>
      <c r="AS11" s="25"/>
      <c r="AT11" s="18">
        <v>5.5</v>
      </c>
      <c r="AU11" s="16">
        <f t="shared" si="0"/>
        <v>-160.64500000000001</v>
      </c>
      <c r="AV11" s="16">
        <f t="shared" si="1"/>
        <v>-24</v>
      </c>
      <c r="AW11" s="6">
        <f t="shared" si="2"/>
        <v>38.064999999999998</v>
      </c>
      <c r="AX11" s="29">
        <f t="shared" si="3"/>
        <v>-24</v>
      </c>
      <c r="AY11" s="44">
        <f t="shared" si="4"/>
        <v>1192.26</v>
      </c>
      <c r="AZ11" s="45">
        <f t="shared" si="5"/>
        <v>1454.25</v>
      </c>
      <c r="BA11" s="45">
        <f t="shared" si="6"/>
        <v>1140</v>
      </c>
      <c r="BB11" s="45">
        <f t="shared" si="7"/>
        <v>304</v>
      </c>
      <c r="BC11" s="45">
        <f t="shared" si="8"/>
        <v>1292.9879999999998</v>
      </c>
      <c r="BD11" s="45">
        <f t="shared" si="9"/>
        <v>653.73401528549994</v>
      </c>
      <c r="BE11" s="46">
        <f t="shared" si="10"/>
        <v>6037.2320152854991</v>
      </c>
    </row>
    <row r="12" spans="1:57" x14ac:dyDescent="0.25">
      <c r="A12">
        <f t="shared" si="11"/>
        <v>10</v>
      </c>
      <c r="B12" s="7" t="s">
        <v>17</v>
      </c>
      <c r="C12" s="29">
        <v>6</v>
      </c>
      <c r="D12" s="33">
        <v>-160.64500000000001</v>
      </c>
      <c r="E12" s="16">
        <v>-21</v>
      </c>
      <c r="F12" s="16">
        <v>38.064999999999998</v>
      </c>
      <c r="G12" s="34">
        <v>-15</v>
      </c>
      <c r="H12" s="24">
        <v>-147.5</v>
      </c>
      <c r="I12" s="6">
        <v>-15</v>
      </c>
      <c r="J12" s="6">
        <v>-50.55</v>
      </c>
      <c r="K12" s="25">
        <v>0</v>
      </c>
      <c r="L12" s="33">
        <v>-71.5</v>
      </c>
      <c r="M12" s="16">
        <v>-40</v>
      </c>
      <c r="N12" s="16">
        <v>4.5</v>
      </c>
      <c r="O12" s="34">
        <v>-25</v>
      </c>
      <c r="P12" s="24">
        <v>-71.5</v>
      </c>
      <c r="Q12" s="6">
        <v>-25</v>
      </c>
      <c r="R12" s="6">
        <v>4.5</v>
      </c>
      <c r="S12" s="25">
        <v>-21</v>
      </c>
      <c r="T12" s="33">
        <v>-50.5</v>
      </c>
      <c r="U12" s="16">
        <v>-15</v>
      </c>
      <c r="V12" s="16">
        <v>-5.5</v>
      </c>
      <c r="W12" s="34">
        <v>8.1199999999999992</v>
      </c>
      <c r="X12" s="24">
        <v>-50.55</v>
      </c>
      <c r="Y12" s="6">
        <v>8</v>
      </c>
      <c r="Z12" s="6">
        <v>-29.501000000000001</v>
      </c>
      <c r="AA12" s="25">
        <v>20</v>
      </c>
      <c r="AB12" s="33">
        <v>-8.7479999999999993</v>
      </c>
      <c r="AC12" s="16">
        <v>9.6300000000000008</v>
      </c>
      <c r="AD12" s="34">
        <v>4.5999999999999996</v>
      </c>
      <c r="AE12" s="24">
        <v>0</v>
      </c>
      <c r="AF12" s="6">
        <v>10.173</v>
      </c>
      <c r="AG12" s="25">
        <v>4</v>
      </c>
      <c r="AH12" s="33">
        <v>-1.9</v>
      </c>
      <c r="AI12" s="16">
        <v>-9.7279999999999998</v>
      </c>
      <c r="AJ12" s="34">
        <v>3.7</v>
      </c>
      <c r="AK12" s="24">
        <v>5.19</v>
      </c>
      <c r="AL12" s="6">
        <v>-7.65</v>
      </c>
      <c r="AM12" s="25">
        <v>3.2</v>
      </c>
      <c r="AN12" s="33"/>
      <c r="AO12" s="16"/>
      <c r="AP12" s="34"/>
      <c r="AQ12" s="24"/>
      <c r="AR12" s="6"/>
      <c r="AS12" s="25"/>
      <c r="AT12" s="18">
        <v>5.5</v>
      </c>
      <c r="AU12" s="16">
        <f t="shared" si="0"/>
        <v>-160.64500000000001</v>
      </c>
      <c r="AV12" s="16">
        <f t="shared" si="1"/>
        <v>-24</v>
      </c>
      <c r="AW12" s="6">
        <f t="shared" si="2"/>
        <v>38.064999999999998</v>
      </c>
      <c r="AX12" s="29">
        <f t="shared" si="3"/>
        <v>-24</v>
      </c>
      <c r="AY12" s="44">
        <f t="shared" si="4"/>
        <v>1192.26</v>
      </c>
      <c r="AZ12" s="45">
        <f t="shared" si="5"/>
        <v>1454.25</v>
      </c>
      <c r="BA12" s="45">
        <f t="shared" si="6"/>
        <v>1140</v>
      </c>
      <c r="BB12" s="45">
        <f t="shared" si="7"/>
        <v>304</v>
      </c>
      <c r="BC12" s="45">
        <f t="shared" si="8"/>
        <v>1292.9879999999998</v>
      </c>
      <c r="BD12" s="45">
        <f t="shared" si="9"/>
        <v>653.73401528549994</v>
      </c>
      <c r="BE12" s="46">
        <f t="shared" si="10"/>
        <v>6037.2320152854991</v>
      </c>
    </row>
    <row r="13" spans="1:57" x14ac:dyDescent="0.25">
      <c r="A13">
        <f t="shared" si="11"/>
        <v>11</v>
      </c>
      <c r="B13" s="7" t="s">
        <v>18</v>
      </c>
      <c r="C13" s="29">
        <v>6</v>
      </c>
      <c r="D13" s="33">
        <v>-160.64500000000001</v>
      </c>
      <c r="E13" s="16">
        <v>-21</v>
      </c>
      <c r="F13" s="16">
        <v>38.064999999999998</v>
      </c>
      <c r="G13" s="34">
        <v>-15</v>
      </c>
      <c r="H13" s="24">
        <v>-147.5</v>
      </c>
      <c r="I13" s="6">
        <v>-15</v>
      </c>
      <c r="J13" s="6">
        <v>-50.55</v>
      </c>
      <c r="K13" s="25">
        <v>0</v>
      </c>
      <c r="L13" s="33">
        <v>-71.5</v>
      </c>
      <c r="M13" s="16">
        <v>-40</v>
      </c>
      <c r="N13" s="16">
        <v>4.5</v>
      </c>
      <c r="O13" s="34">
        <v>-25</v>
      </c>
      <c r="P13" s="24">
        <v>-71.5</v>
      </c>
      <c r="Q13" s="6">
        <v>-25</v>
      </c>
      <c r="R13" s="6">
        <v>4.5</v>
      </c>
      <c r="S13" s="25">
        <v>-21</v>
      </c>
      <c r="T13" s="33">
        <v>-50.5</v>
      </c>
      <c r="U13" s="16">
        <v>-15</v>
      </c>
      <c r="V13" s="16">
        <v>-5.5</v>
      </c>
      <c r="W13" s="34">
        <v>8.1199999999999992</v>
      </c>
      <c r="X13" s="24">
        <v>-50.55</v>
      </c>
      <c r="Y13" s="6">
        <v>8</v>
      </c>
      <c r="Z13" s="6">
        <v>-29.501000000000001</v>
      </c>
      <c r="AA13" s="25">
        <v>20</v>
      </c>
      <c r="AB13" s="33">
        <v>-8.7479999999999993</v>
      </c>
      <c r="AC13" s="16">
        <v>9.6300000000000008</v>
      </c>
      <c r="AD13" s="34">
        <v>4.5999999999999996</v>
      </c>
      <c r="AE13" s="24">
        <v>0</v>
      </c>
      <c r="AF13" s="6">
        <v>10.173</v>
      </c>
      <c r="AG13" s="25">
        <v>4</v>
      </c>
      <c r="AH13" s="33">
        <v>-1.9</v>
      </c>
      <c r="AI13" s="16">
        <v>-9.7279999999999998</v>
      </c>
      <c r="AJ13" s="34">
        <v>3.7</v>
      </c>
      <c r="AK13" s="24">
        <v>5.19</v>
      </c>
      <c r="AL13" s="6">
        <v>-7.65</v>
      </c>
      <c r="AM13" s="25">
        <v>3.2</v>
      </c>
      <c r="AN13" s="33"/>
      <c r="AO13" s="16"/>
      <c r="AP13" s="34"/>
      <c r="AQ13" s="24"/>
      <c r="AR13" s="6"/>
      <c r="AS13" s="25"/>
      <c r="AT13" s="18">
        <v>5.5</v>
      </c>
      <c r="AU13" s="16">
        <f t="shared" si="0"/>
        <v>-160.64500000000001</v>
      </c>
      <c r="AV13" s="16">
        <f t="shared" si="1"/>
        <v>-24</v>
      </c>
      <c r="AW13" s="6">
        <f t="shared" si="2"/>
        <v>38.064999999999998</v>
      </c>
      <c r="AX13" s="29">
        <f t="shared" si="3"/>
        <v>-24</v>
      </c>
      <c r="AY13" s="44">
        <f t="shared" si="4"/>
        <v>1192.26</v>
      </c>
      <c r="AZ13" s="45">
        <f t="shared" si="5"/>
        <v>1454.25</v>
      </c>
      <c r="BA13" s="45">
        <f t="shared" si="6"/>
        <v>1140</v>
      </c>
      <c r="BB13" s="45">
        <f t="shared" si="7"/>
        <v>304</v>
      </c>
      <c r="BC13" s="45">
        <f t="shared" si="8"/>
        <v>1292.9879999999998</v>
      </c>
      <c r="BD13" s="45">
        <f t="shared" si="9"/>
        <v>653.73401528549994</v>
      </c>
      <c r="BE13" s="46">
        <f t="shared" si="10"/>
        <v>6037.2320152854991</v>
      </c>
    </row>
    <row r="14" spans="1:57" x14ac:dyDescent="0.25">
      <c r="A14">
        <f t="shared" si="11"/>
        <v>12</v>
      </c>
      <c r="B14" s="7" t="s">
        <v>19</v>
      </c>
      <c r="C14" s="29">
        <v>6</v>
      </c>
      <c r="D14" s="33">
        <v>-160.64500000000001</v>
      </c>
      <c r="E14" s="16">
        <v>-21</v>
      </c>
      <c r="F14" s="16">
        <v>38.064999999999998</v>
      </c>
      <c r="G14" s="34">
        <v>-15</v>
      </c>
      <c r="H14" s="24">
        <v>-147.5</v>
      </c>
      <c r="I14" s="6">
        <v>-15</v>
      </c>
      <c r="J14" s="6">
        <v>-50.55</v>
      </c>
      <c r="K14" s="25">
        <v>0</v>
      </c>
      <c r="L14" s="33">
        <v>-71.5</v>
      </c>
      <c r="M14" s="16">
        <v>-40</v>
      </c>
      <c r="N14" s="16">
        <v>4.5</v>
      </c>
      <c r="O14" s="34">
        <v>-25</v>
      </c>
      <c r="P14" s="24">
        <v>-71.5</v>
      </c>
      <c r="Q14" s="6">
        <v>-25</v>
      </c>
      <c r="R14" s="6">
        <v>4.5</v>
      </c>
      <c r="S14" s="25">
        <v>-21</v>
      </c>
      <c r="T14" s="33">
        <v>-50.5</v>
      </c>
      <c r="U14" s="16">
        <v>-15</v>
      </c>
      <c r="V14" s="16">
        <v>-5.5</v>
      </c>
      <c r="W14" s="34">
        <v>8.1199999999999992</v>
      </c>
      <c r="X14" s="24">
        <v>-50.55</v>
      </c>
      <c r="Y14" s="6">
        <v>8</v>
      </c>
      <c r="Z14" s="6">
        <v>-29.501000000000001</v>
      </c>
      <c r="AA14" s="25">
        <v>20</v>
      </c>
      <c r="AB14" s="33">
        <v>-8.7479999999999993</v>
      </c>
      <c r="AC14" s="16">
        <v>9.6300000000000008</v>
      </c>
      <c r="AD14" s="34">
        <v>4.5999999999999996</v>
      </c>
      <c r="AE14" s="24">
        <v>0</v>
      </c>
      <c r="AF14" s="6">
        <v>10.173</v>
      </c>
      <c r="AG14" s="25">
        <v>4</v>
      </c>
      <c r="AH14" s="33">
        <v>-1.9</v>
      </c>
      <c r="AI14" s="16">
        <v>-9.7279999999999998</v>
      </c>
      <c r="AJ14" s="34">
        <v>3.7</v>
      </c>
      <c r="AK14" s="24">
        <v>5.19</v>
      </c>
      <c r="AL14" s="6">
        <v>-7.65</v>
      </c>
      <c r="AM14" s="25">
        <v>3.2</v>
      </c>
      <c r="AN14" s="33"/>
      <c r="AO14" s="16"/>
      <c r="AP14" s="34"/>
      <c r="AQ14" s="24"/>
      <c r="AR14" s="6"/>
      <c r="AS14" s="25"/>
      <c r="AT14" s="18">
        <v>5.5</v>
      </c>
      <c r="AU14" s="16">
        <f t="shared" si="0"/>
        <v>-160.64500000000001</v>
      </c>
      <c r="AV14" s="16">
        <f t="shared" si="1"/>
        <v>-24</v>
      </c>
      <c r="AW14" s="6">
        <f t="shared" si="2"/>
        <v>38.064999999999998</v>
      </c>
      <c r="AX14" s="29">
        <f t="shared" si="3"/>
        <v>-24</v>
      </c>
      <c r="AY14" s="44">
        <f t="shared" si="4"/>
        <v>1192.26</v>
      </c>
      <c r="AZ14" s="45">
        <f t="shared" si="5"/>
        <v>1454.25</v>
      </c>
      <c r="BA14" s="45">
        <f t="shared" si="6"/>
        <v>1140</v>
      </c>
      <c r="BB14" s="45">
        <f t="shared" si="7"/>
        <v>304</v>
      </c>
      <c r="BC14" s="45">
        <f t="shared" si="8"/>
        <v>1292.9879999999998</v>
      </c>
      <c r="BD14" s="45">
        <f t="shared" si="9"/>
        <v>653.73401528549994</v>
      </c>
      <c r="BE14" s="46">
        <f t="shared" si="10"/>
        <v>6037.2320152854991</v>
      </c>
    </row>
    <row r="15" spans="1:57" x14ac:dyDescent="0.25">
      <c r="A15">
        <f t="shared" si="11"/>
        <v>13</v>
      </c>
      <c r="B15" s="7" t="s">
        <v>20</v>
      </c>
      <c r="C15" s="29">
        <v>6</v>
      </c>
      <c r="D15" s="33">
        <v>-160.64500000000001</v>
      </c>
      <c r="E15" s="16">
        <v>-21</v>
      </c>
      <c r="F15" s="16">
        <v>38.064999999999998</v>
      </c>
      <c r="G15" s="34">
        <v>-15</v>
      </c>
      <c r="H15" s="24">
        <v>-147.5</v>
      </c>
      <c r="I15" s="6">
        <v>-15</v>
      </c>
      <c r="J15" s="6">
        <v>-50.55</v>
      </c>
      <c r="K15" s="25">
        <v>0</v>
      </c>
      <c r="L15" s="33">
        <v>-71.5</v>
      </c>
      <c r="M15" s="16">
        <v>-40</v>
      </c>
      <c r="N15" s="16">
        <v>4.5</v>
      </c>
      <c r="O15" s="34">
        <v>-25</v>
      </c>
      <c r="P15" s="24">
        <v>-71.5</v>
      </c>
      <c r="Q15" s="6">
        <v>-25</v>
      </c>
      <c r="R15" s="6">
        <v>4.5</v>
      </c>
      <c r="S15" s="25">
        <v>-21</v>
      </c>
      <c r="T15" s="33">
        <v>-50.5</v>
      </c>
      <c r="U15" s="16">
        <v>-15</v>
      </c>
      <c r="V15" s="16">
        <v>-5.5</v>
      </c>
      <c r="W15" s="34">
        <v>8.1199999999999992</v>
      </c>
      <c r="X15" s="24">
        <v>-50.55</v>
      </c>
      <c r="Y15" s="6">
        <v>8</v>
      </c>
      <c r="Z15" s="6">
        <v>-29.501000000000001</v>
      </c>
      <c r="AA15" s="25">
        <v>20</v>
      </c>
      <c r="AB15" s="33">
        <v>-8.7479999999999993</v>
      </c>
      <c r="AC15" s="16">
        <v>9.6300000000000008</v>
      </c>
      <c r="AD15" s="34">
        <v>4.5999999999999996</v>
      </c>
      <c r="AE15" s="24">
        <v>0</v>
      </c>
      <c r="AF15" s="6">
        <v>10.173</v>
      </c>
      <c r="AG15" s="25">
        <v>4</v>
      </c>
      <c r="AH15" s="33">
        <v>-1.9</v>
      </c>
      <c r="AI15" s="16">
        <v>-9.7279999999999998</v>
      </c>
      <c r="AJ15" s="34">
        <v>3.7</v>
      </c>
      <c r="AK15" s="24">
        <v>5.19</v>
      </c>
      <c r="AL15" s="6">
        <v>-7.65</v>
      </c>
      <c r="AM15" s="25">
        <v>3.2</v>
      </c>
      <c r="AN15" s="33"/>
      <c r="AO15" s="16"/>
      <c r="AP15" s="34"/>
      <c r="AQ15" s="24"/>
      <c r="AR15" s="6"/>
      <c r="AS15" s="25"/>
      <c r="AT15" s="18">
        <v>5.5</v>
      </c>
      <c r="AU15" s="16">
        <f t="shared" si="0"/>
        <v>-160.64500000000001</v>
      </c>
      <c r="AV15" s="16">
        <f t="shared" si="1"/>
        <v>-24</v>
      </c>
      <c r="AW15" s="6">
        <f t="shared" si="2"/>
        <v>38.064999999999998</v>
      </c>
      <c r="AX15" s="29">
        <f t="shared" si="3"/>
        <v>-24</v>
      </c>
      <c r="AY15" s="44">
        <f t="shared" si="4"/>
        <v>1192.26</v>
      </c>
      <c r="AZ15" s="45">
        <f t="shared" si="5"/>
        <v>1454.25</v>
      </c>
      <c r="BA15" s="45">
        <f t="shared" si="6"/>
        <v>1140</v>
      </c>
      <c r="BB15" s="45">
        <f t="shared" si="7"/>
        <v>304</v>
      </c>
      <c r="BC15" s="45">
        <f t="shared" si="8"/>
        <v>1292.9879999999998</v>
      </c>
      <c r="BD15" s="45">
        <f t="shared" si="9"/>
        <v>653.73401528549994</v>
      </c>
      <c r="BE15" s="46">
        <f t="shared" si="10"/>
        <v>6037.2320152854991</v>
      </c>
    </row>
    <row r="16" spans="1:57" x14ac:dyDescent="0.25">
      <c r="A16">
        <f t="shared" si="11"/>
        <v>14</v>
      </c>
      <c r="B16" s="7" t="s">
        <v>21</v>
      </c>
      <c r="C16" s="29">
        <v>6</v>
      </c>
      <c r="D16" s="33">
        <v>-160.64500000000001</v>
      </c>
      <c r="E16" s="16">
        <v>-21</v>
      </c>
      <c r="F16" s="16">
        <v>38.064999999999998</v>
      </c>
      <c r="G16" s="34">
        <v>-15</v>
      </c>
      <c r="H16" s="24">
        <v>-147.5</v>
      </c>
      <c r="I16" s="6">
        <v>-15</v>
      </c>
      <c r="J16" s="6">
        <v>-50.55</v>
      </c>
      <c r="K16" s="25">
        <v>0</v>
      </c>
      <c r="L16" s="33">
        <v>-71.5</v>
      </c>
      <c r="M16" s="16">
        <v>-40</v>
      </c>
      <c r="N16" s="16">
        <v>4.5</v>
      </c>
      <c r="O16" s="34">
        <v>-25</v>
      </c>
      <c r="P16" s="24">
        <v>-71.5</v>
      </c>
      <c r="Q16" s="6">
        <v>-25</v>
      </c>
      <c r="R16" s="6">
        <v>4.5</v>
      </c>
      <c r="S16" s="25">
        <v>-21</v>
      </c>
      <c r="T16" s="33">
        <v>-50.5</v>
      </c>
      <c r="U16" s="16">
        <v>-15</v>
      </c>
      <c r="V16" s="16">
        <v>-5.5</v>
      </c>
      <c r="W16" s="34">
        <v>8.1199999999999992</v>
      </c>
      <c r="X16" s="24">
        <v>-50.55</v>
      </c>
      <c r="Y16" s="6">
        <v>8</v>
      </c>
      <c r="Z16" s="6">
        <v>-29.501000000000001</v>
      </c>
      <c r="AA16" s="25">
        <v>20</v>
      </c>
      <c r="AB16" s="33">
        <v>-8.7479999999999993</v>
      </c>
      <c r="AC16" s="16">
        <v>9.6300000000000008</v>
      </c>
      <c r="AD16" s="34">
        <v>4.5999999999999996</v>
      </c>
      <c r="AE16" s="24">
        <v>0</v>
      </c>
      <c r="AF16" s="6">
        <v>10.173</v>
      </c>
      <c r="AG16" s="25">
        <v>4</v>
      </c>
      <c r="AH16" s="33">
        <v>-1.9</v>
      </c>
      <c r="AI16" s="16">
        <v>-9.7279999999999998</v>
      </c>
      <c r="AJ16" s="34">
        <v>3.7</v>
      </c>
      <c r="AK16" s="24">
        <v>5.19</v>
      </c>
      <c r="AL16" s="6">
        <v>-7.65</v>
      </c>
      <c r="AM16" s="25">
        <v>3.2</v>
      </c>
      <c r="AN16" s="33"/>
      <c r="AO16" s="16"/>
      <c r="AP16" s="34"/>
      <c r="AQ16" s="24"/>
      <c r="AR16" s="6"/>
      <c r="AS16" s="25"/>
      <c r="AT16" s="18">
        <v>5.5</v>
      </c>
      <c r="AU16" s="16">
        <f t="shared" si="0"/>
        <v>-160.64500000000001</v>
      </c>
      <c r="AV16" s="16">
        <f t="shared" si="1"/>
        <v>-24</v>
      </c>
      <c r="AW16" s="6">
        <f t="shared" si="2"/>
        <v>38.064999999999998</v>
      </c>
      <c r="AX16" s="29">
        <f t="shared" si="3"/>
        <v>-24</v>
      </c>
      <c r="AY16" s="44">
        <f t="shared" si="4"/>
        <v>1192.26</v>
      </c>
      <c r="AZ16" s="45">
        <f t="shared" si="5"/>
        <v>1454.25</v>
      </c>
      <c r="BA16" s="45">
        <f t="shared" si="6"/>
        <v>1140</v>
      </c>
      <c r="BB16" s="45">
        <f t="shared" si="7"/>
        <v>304</v>
      </c>
      <c r="BC16" s="45">
        <f t="shared" si="8"/>
        <v>1292.9879999999998</v>
      </c>
      <c r="BD16" s="45">
        <f t="shared" si="9"/>
        <v>653.73401528549994</v>
      </c>
      <c r="BE16" s="46">
        <f t="shared" si="10"/>
        <v>6037.2320152854991</v>
      </c>
    </row>
    <row r="17" spans="1:57" x14ac:dyDescent="0.25">
      <c r="A17">
        <f t="shared" si="11"/>
        <v>15</v>
      </c>
      <c r="B17" s="7" t="s">
        <v>23</v>
      </c>
      <c r="C17" s="29">
        <v>6</v>
      </c>
      <c r="D17" s="33">
        <v>-160.64500000000001</v>
      </c>
      <c r="E17" s="16">
        <v>-21</v>
      </c>
      <c r="F17" s="16">
        <v>38.064999999999998</v>
      </c>
      <c r="G17" s="34">
        <v>-15</v>
      </c>
      <c r="H17" s="24">
        <v>-147.5</v>
      </c>
      <c r="I17" s="6">
        <v>-15</v>
      </c>
      <c r="J17" s="6">
        <v>-50.55</v>
      </c>
      <c r="K17" s="25">
        <v>0</v>
      </c>
      <c r="L17" s="33">
        <v>-71.5</v>
      </c>
      <c r="M17" s="16">
        <v>-40</v>
      </c>
      <c r="N17" s="16">
        <v>4.5</v>
      </c>
      <c r="O17" s="34">
        <v>-25</v>
      </c>
      <c r="P17" s="24">
        <v>-71.5</v>
      </c>
      <c r="Q17" s="6">
        <v>-25</v>
      </c>
      <c r="R17" s="6">
        <v>4.5</v>
      </c>
      <c r="S17" s="25">
        <v>-21</v>
      </c>
      <c r="T17" s="33">
        <v>-50.5</v>
      </c>
      <c r="U17" s="16">
        <v>-15</v>
      </c>
      <c r="V17" s="16">
        <v>-5.5</v>
      </c>
      <c r="W17" s="34">
        <v>8.1199999999999992</v>
      </c>
      <c r="X17" s="24">
        <v>-50.55</v>
      </c>
      <c r="Y17" s="6">
        <v>8</v>
      </c>
      <c r="Z17" s="6">
        <v>-29.501000000000001</v>
      </c>
      <c r="AA17" s="25">
        <v>20</v>
      </c>
      <c r="AB17" s="33">
        <v>-8.7479999999999993</v>
      </c>
      <c r="AC17" s="16">
        <v>9.6300000000000008</v>
      </c>
      <c r="AD17" s="34">
        <v>4.5999999999999996</v>
      </c>
      <c r="AE17" s="24">
        <v>0</v>
      </c>
      <c r="AF17" s="6">
        <v>10.173</v>
      </c>
      <c r="AG17" s="25">
        <v>4</v>
      </c>
      <c r="AH17" s="33">
        <v>-1.9</v>
      </c>
      <c r="AI17" s="16">
        <v>-9.7279999999999998</v>
      </c>
      <c r="AJ17" s="34">
        <v>3.7</v>
      </c>
      <c r="AK17" s="24">
        <v>5.19</v>
      </c>
      <c r="AL17" s="6">
        <v>-7.65</v>
      </c>
      <c r="AM17" s="25">
        <v>3.2</v>
      </c>
      <c r="AN17" s="33"/>
      <c r="AO17" s="16"/>
      <c r="AP17" s="34"/>
      <c r="AQ17" s="24"/>
      <c r="AR17" s="6"/>
      <c r="AS17" s="25"/>
      <c r="AT17" s="18">
        <v>5.5</v>
      </c>
      <c r="AU17" s="16">
        <f t="shared" si="0"/>
        <v>-160.64500000000001</v>
      </c>
      <c r="AV17" s="16">
        <f t="shared" si="1"/>
        <v>-24</v>
      </c>
      <c r="AW17" s="6">
        <f t="shared" si="2"/>
        <v>38.064999999999998</v>
      </c>
      <c r="AX17" s="29">
        <f t="shared" si="3"/>
        <v>-24</v>
      </c>
      <c r="AY17" s="44">
        <f t="shared" si="4"/>
        <v>1192.26</v>
      </c>
      <c r="AZ17" s="45">
        <f t="shared" si="5"/>
        <v>1454.25</v>
      </c>
      <c r="BA17" s="45">
        <f t="shared" si="6"/>
        <v>1140</v>
      </c>
      <c r="BB17" s="45">
        <f t="shared" si="7"/>
        <v>304</v>
      </c>
      <c r="BC17" s="45">
        <f t="shared" si="8"/>
        <v>1292.9879999999998</v>
      </c>
      <c r="BD17" s="45">
        <f t="shared" si="9"/>
        <v>653.73401528549994</v>
      </c>
      <c r="BE17" s="46">
        <f t="shared" si="10"/>
        <v>6037.2320152854991</v>
      </c>
    </row>
    <row r="18" spans="1:57" x14ac:dyDescent="0.25">
      <c r="A18">
        <f t="shared" si="11"/>
        <v>16</v>
      </c>
      <c r="B18" s="7" t="s">
        <v>24</v>
      </c>
      <c r="C18" s="29">
        <v>6</v>
      </c>
      <c r="D18" s="33">
        <v>-160.64500000000001</v>
      </c>
      <c r="E18" s="16">
        <v>-21</v>
      </c>
      <c r="F18" s="16">
        <v>38.064999999999998</v>
      </c>
      <c r="G18" s="34">
        <v>-15</v>
      </c>
      <c r="H18" s="24">
        <v>-147.5</v>
      </c>
      <c r="I18" s="6">
        <v>-15</v>
      </c>
      <c r="J18" s="6">
        <v>-50.55</v>
      </c>
      <c r="K18" s="25">
        <v>0</v>
      </c>
      <c r="L18" s="33">
        <v>-71.5</v>
      </c>
      <c r="M18" s="16">
        <v>-40</v>
      </c>
      <c r="N18" s="16">
        <v>4.5</v>
      </c>
      <c r="O18" s="34">
        <v>-25</v>
      </c>
      <c r="P18" s="24">
        <v>-71.5</v>
      </c>
      <c r="Q18" s="6">
        <v>-25</v>
      </c>
      <c r="R18" s="6">
        <v>4.5</v>
      </c>
      <c r="S18" s="25">
        <v>-21</v>
      </c>
      <c r="T18" s="33">
        <v>-50.5</v>
      </c>
      <c r="U18" s="16">
        <v>-15</v>
      </c>
      <c r="V18" s="16">
        <v>-5.5</v>
      </c>
      <c r="W18" s="34">
        <v>8.1199999999999992</v>
      </c>
      <c r="X18" s="24">
        <v>-50.55</v>
      </c>
      <c r="Y18" s="6">
        <v>8</v>
      </c>
      <c r="Z18" s="6">
        <v>-29.501000000000001</v>
      </c>
      <c r="AA18" s="25">
        <v>20</v>
      </c>
      <c r="AB18" s="33">
        <v>-8.7479999999999993</v>
      </c>
      <c r="AC18" s="16">
        <v>9.6300000000000008</v>
      </c>
      <c r="AD18" s="34">
        <v>4.5999999999999996</v>
      </c>
      <c r="AE18" s="24">
        <v>0</v>
      </c>
      <c r="AF18" s="6">
        <v>10.173</v>
      </c>
      <c r="AG18" s="25">
        <v>4</v>
      </c>
      <c r="AH18" s="33">
        <v>-1.9</v>
      </c>
      <c r="AI18" s="16">
        <v>-9.7279999999999998</v>
      </c>
      <c r="AJ18" s="34">
        <v>3.7</v>
      </c>
      <c r="AK18" s="24">
        <v>5.19</v>
      </c>
      <c r="AL18" s="6">
        <v>-7.65</v>
      </c>
      <c r="AM18" s="25">
        <v>3.2</v>
      </c>
      <c r="AN18" s="33"/>
      <c r="AO18" s="16"/>
      <c r="AP18" s="34"/>
      <c r="AQ18" s="24"/>
      <c r="AR18" s="6"/>
      <c r="AS18" s="25"/>
      <c r="AT18" s="18">
        <v>5.5</v>
      </c>
      <c r="AU18" s="16">
        <f t="shared" si="0"/>
        <v>-160.64500000000001</v>
      </c>
      <c r="AV18" s="16">
        <f t="shared" si="1"/>
        <v>-24</v>
      </c>
      <c r="AW18" s="6">
        <f t="shared" si="2"/>
        <v>38.064999999999998</v>
      </c>
      <c r="AX18" s="29">
        <f t="shared" si="3"/>
        <v>-24</v>
      </c>
      <c r="AY18" s="44">
        <f t="shared" si="4"/>
        <v>1192.26</v>
      </c>
      <c r="AZ18" s="45">
        <f t="shared" si="5"/>
        <v>1454.25</v>
      </c>
      <c r="BA18" s="45">
        <f t="shared" si="6"/>
        <v>1140</v>
      </c>
      <c r="BB18" s="45">
        <f t="shared" si="7"/>
        <v>304</v>
      </c>
      <c r="BC18" s="45">
        <f t="shared" si="8"/>
        <v>1292.9879999999998</v>
      </c>
      <c r="BD18" s="45">
        <f t="shared" si="9"/>
        <v>653.73401528549994</v>
      </c>
      <c r="BE18" s="46">
        <f t="shared" si="10"/>
        <v>6037.2320152854991</v>
      </c>
    </row>
    <row r="19" spans="1:57" x14ac:dyDescent="0.25">
      <c r="A19">
        <f t="shared" si="11"/>
        <v>17</v>
      </c>
      <c r="B19" s="7" t="s">
        <v>33</v>
      </c>
      <c r="C19" s="29">
        <v>6</v>
      </c>
      <c r="D19" s="33">
        <v>-173.95</v>
      </c>
      <c r="E19" s="16">
        <v>15</v>
      </c>
      <c r="F19" s="16">
        <v>50.694299999999998</v>
      </c>
      <c r="G19" s="34">
        <v>21</v>
      </c>
      <c r="H19" s="24">
        <v>-150</v>
      </c>
      <c r="I19" s="6">
        <v>15</v>
      </c>
      <c r="J19" s="6">
        <v>-44.5</v>
      </c>
      <c r="K19" s="25">
        <v>3</v>
      </c>
      <c r="L19" s="33">
        <v>-85.88</v>
      </c>
      <c r="M19" s="16">
        <v>43.5</v>
      </c>
      <c r="N19" s="16">
        <v>-3</v>
      </c>
      <c r="O19" s="34">
        <v>26.5</v>
      </c>
      <c r="P19" s="24">
        <v>-75</v>
      </c>
      <c r="Q19" s="6">
        <v>26.5</v>
      </c>
      <c r="R19" s="6">
        <v>7</v>
      </c>
      <c r="S19" s="25">
        <v>21</v>
      </c>
      <c r="T19" s="33">
        <v>-45</v>
      </c>
      <c r="U19" s="16">
        <v>15</v>
      </c>
      <c r="V19" s="16">
        <v>-8</v>
      </c>
      <c r="W19" s="34">
        <v>-4</v>
      </c>
      <c r="X19" s="24">
        <v>-45</v>
      </c>
      <c r="Y19" s="6">
        <v>-4</v>
      </c>
      <c r="Z19" s="6">
        <v>-3</v>
      </c>
      <c r="AA19" s="25">
        <v>-24</v>
      </c>
      <c r="AB19" s="33"/>
      <c r="AC19" s="16"/>
      <c r="AD19" s="34"/>
      <c r="AE19" s="24"/>
      <c r="AF19" s="6"/>
      <c r="AG19" s="25"/>
      <c r="AH19" s="33"/>
      <c r="AI19" s="16"/>
      <c r="AJ19" s="34"/>
      <c r="AK19" s="24"/>
      <c r="AL19" s="6"/>
      <c r="AM19" s="25"/>
      <c r="AN19" s="33"/>
      <c r="AO19" s="16"/>
      <c r="AP19" s="34"/>
      <c r="AQ19" s="24"/>
      <c r="AR19" s="6"/>
      <c r="AS19" s="25"/>
      <c r="AT19" s="18">
        <v>16</v>
      </c>
      <c r="AU19" s="16">
        <f t="shared" si="0"/>
        <v>-173.95</v>
      </c>
      <c r="AV19" s="16">
        <f t="shared" si="1"/>
        <v>12</v>
      </c>
      <c r="AW19" s="6">
        <f t="shared" si="2"/>
        <v>50.694299999999998</v>
      </c>
      <c r="AX19" s="29">
        <f t="shared" si="3"/>
        <v>12</v>
      </c>
      <c r="AY19" s="44">
        <f t="shared" si="4"/>
        <v>1347.8658</v>
      </c>
      <c r="AZ19" s="45">
        <f t="shared" si="5"/>
        <v>1266</v>
      </c>
      <c r="BA19" s="45">
        <f t="shared" si="6"/>
        <v>1408.96</v>
      </c>
      <c r="BB19" s="45">
        <f t="shared" si="7"/>
        <v>-451</v>
      </c>
      <c r="BC19" s="45">
        <f t="shared" si="8"/>
        <v>1543</v>
      </c>
      <c r="BD19" s="45">
        <f t="shared" si="9"/>
        <v>169.64600329384882</v>
      </c>
      <c r="BE19" s="46">
        <f t="shared" si="10"/>
        <v>5284.471803293849</v>
      </c>
    </row>
    <row r="20" spans="1:57" x14ac:dyDescent="0.25">
      <c r="A20">
        <f t="shared" si="11"/>
        <v>18</v>
      </c>
      <c r="B20" s="7" t="s">
        <v>25</v>
      </c>
      <c r="C20" s="29">
        <v>6</v>
      </c>
      <c r="D20" s="33">
        <v>-173.95</v>
      </c>
      <c r="E20" s="16">
        <v>15</v>
      </c>
      <c r="F20" s="16">
        <v>50.694299999999998</v>
      </c>
      <c r="G20" s="34">
        <v>21</v>
      </c>
      <c r="H20" s="24">
        <v>-150</v>
      </c>
      <c r="I20" s="6">
        <v>15</v>
      </c>
      <c r="J20" s="6">
        <v>-44.5</v>
      </c>
      <c r="K20" s="25">
        <v>3</v>
      </c>
      <c r="L20" s="33">
        <v>-85.88</v>
      </c>
      <c r="M20" s="16">
        <v>43.5</v>
      </c>
      <c r="N20" s="16">
        <v>-3</v>
      </c>
      <c r="O20" s="34">
        <v>26.5</v>
      </c>
      <c r="P20" s="24">
        <v>-75</v>
      </c>
      <c r="Q20" s="6">
        <v>26.5</v>
      </c>
      <c r="R20" s="6">
        <v>7</v>
      </c>
      <c r="S20" s="25">
        <v>21</v>
      </c>
      <c r="T20" s="33">
        <v>-45</v>
      </c>
      <c r="U20" s="16">
        <v>15</v>
      </c>
      <c r="V20" s="16">
        <v>-8</v>
      </c>
      <c r="W20" s="34">
        <v>-4</v>
      </c>
      <c r="X20" s="24">
        <v>-45</v>
      </c>
      <c r="Y20" s="6">
        <v>-4</v>
      </c>
      <c r="Z20" s="6">
        <v>-3</v>
      </c>
      <c r="AA20" s="25">
        <v>-24</v>
      </c>
      <c r="AB20" s="33"/>
      <c r="AC20" s="16"/>
      <c r="AD20" s="34"/>
      <c r="AE20" s="24"/>
      <c r="AF20" s="6"/>
      <c r="AG20" s="25"/>
      <c r="AH20" s="33"/>
      <c r="AI20" s="16"/>
      <c r="AJ20" s="34"/>
      <c r="AK20" s="24"/>
      <c r="AL20" s="6"/>
      <c r="AM20" s="25"/>
      <c r="AN20" s="33"/>
      <c r="AO20" s="16"/>
      <c r="AP20" s="34"/>
      <c r="AQ20" s="24"/>
      <c r="AR20" s="6"/>
      <c r="AS20" s="25"/>
      <c r="AT20" s="18">
        <v>16</v>
      </c>
      <c r="AU20" s="16">
        <f t="shared" si="0"/>
        <v>-173.95</v>
      </c>
      <c r="AV20" s="16">
        <f t="shared" si="1"/>
        <v>12</v>
      </c>
      <c r="AW20" s="6">
        <f t="shared" si="2"/>
        <v>50.694299999999998</v>
      </c>
      <c r="AX20" s="29">
        <f t="shared" si="3"/>
        <v>12</v>
      </c>
      <c r="AY20" s="44">
        <f t="shared" si="4"/>
        <v>1347.8658</v>
      </c>
      <c r="AZ20" s="45">
        <f t="shared" si="5"/>
        <v>1266</v>
      </c>
      <c r="BA20" s="45">
        <f t="shared" si="6"/>
        <v>1408.96</v>
      </c>
      <c r="BB20" s="45">
        <f t="shared" si="7"/>
        <v>-451</v>
      </c>
      <c r="BC20" s="45">
        <f t="shared" si="8"/>
        <v>1543</v>
      </c>
      <c r="BD20" s="45">
        <f t="shared" si="9"/>
        <v>169.64600329384882</v>
      </c>
      <c r="BE20" s="46">
        <f t="shared" si="10"/>
        <v>5284.471803293849</v>
      </c>
    </row>
    <row r="21" spans="1:57" x14ac:dyDescent="0.25">
      <c r="A21">
        <f t="shared" si="11"/>
        <v>19</v>
      </c>
      <c r="B21" s="7" t="s">
        <v>26</v>
      </c>
      <c r="C21" s="29">
        <v>6</v>
      </c>
      <c r="D21" s="33">
        <v>-173.95</v>
      </c>
      <c r="E21" s="16">
        <v>15</v>
      </c>
      <c r="F21" s="16">
        <v>50.694299999999998</v>
      </c>
      <c r="G21" s="34">
        <v>21</v>
      </c>
      <c r="H21" s="24">
        <v>-150</v>
      </c>
      <c r="I21" s="6">
        <v>15</v>
      </c>
      <c r="J21" s="6">
        <v>-44.5</v>
      </c>
      <c r="K21" s="25">
        <v>3</v>
      </c>
      <c r="L21" s="33">
        <v>-85.88</v>
      </c>
      <c r="M21" s="16">
        <v>43.5</v>
      </c>
      <c r="N21" s="16">
        <v>-3</v>
      </c>
      <c r="O21" s="34">
        <v>26.5</v>
      </c>
      <c r="P21" s="24">
        <v>-75</v>
      </c>
      <c r="Q21" s="6">
        <v>26.5</v>
      </c>
      <c r="R21" s="6">
        <v>7</v>
      </c>
      <c r="S21" s="25">
        <v>21</v>
      </c>
      <c r="T21" s="33">
        <v>-45</v>
      </c>
      <c r="U21" s="16">
        <v>15</v>
      </c>
      <c r="V21" s="16">
        <v>-8</v>
      </c>
      <c r="W21" s="34">
        <v>-4</v>
      </c>
      <c r="X21" s="24">
        <v>-45</v>
      </c>
      <c r="Y21" s="6">
        <v>-4</v>
      </c>
      <c r="Z21" s="6">
        <v>-3</v>
      </c>
      <c r="AA21" s="25">
        <v>-24</v>
      </c>
      <c r="AB21" s="33"/>
      <c r="AC21" s="16"/>
      <c r="AD21" s="34"/>
      <c r="AE21" s="24"/>
      <c r="AF21" s="6"/>
      <c r="AG21" s="25"/>
      <c r="AH21" s="33"/>
      <c r="AI21" s="16"/>
      <c r="AJ21" s="34"/>
      <c r="AK21" s="24"/>
      <c r="AL21" s="6"/>
      <c r="AM21" s="25"/>
      <c r="AN21" s="33"/>
      <c r="AO21" s="16"/>
      <c r="AP21" s="34"/>
      <c r="AQ21" s="24"/>
      <c r="AR21" s="6"/>
      <c r="AS21" s="25"/>
      <c r="AT21" s="18">
        <v>16</v>
      </c>
      <c r="AU21" s="16">
        <f t="shared" si="0"/>
        <v>-173.95</v>
      </c>
      <c r="AV21" s="16">
        <f t="shared" si="1"/>
        <v>12</v>
      </c>
      <c r="AW21" s="6">
        <f t="shared" si="2"/>
        <v>50.694299999999998</v>
      </c>
      <c r="AX21" s="29">
        <f t="shared" si="3"/>
        <v>12</v>
      </c>
      <c r="AY21" s="44">
        <f t="shared" si="4"/>
        <v>1347.8658</v>
      </c>
      <c r="AZ21" s="45">
        <f t="shared" si="5"/>
        <v>1266</v>
      </c>
      <c r="BA21" s="45">
        <f t="shared" si="6"/>
        <v>1408.96</v>
      </c>
      <c r="BB21" s="45">
        <f t="shared" si="7"/>
        <v>-451</v>
      </c>
      <c r="BC21" s="45">
        <f t="shared" si="8"/>
        <v>1543</v>
      </c>
      <c r="BD21" s="45">
        <f t="shared" si="9"/>
        <v>169.64600329384882</v>
      </c>
      <c r="BE21" s="46">
        <f t="shared" si="10"/>
        <v>5284.471803293849</v>
      </c>
    </row>
    <row r="22" spans="1:57" x14ac:dyDescent="0.25">
      <c r="A22">
        <f t="shared" si="11"/>
        <v>20</v>
      </c>
      <c r="B22" s="7" t="s">
        <v>27</v>
      </c>
      <c r="C22" s="29">
        <v>6</v>
      </c>
      <c r="D22" s="33">
        <v>-173.95</v>
      </c>
      <c r="E22" s="16">
        <v>15</v>
      </c>
      <c r="F22" s="16">
        <v>50.694299999999998</v>
      </c>
      <c r="G22" s="34">
        <v>21</v>
      </c>
      <c r="H22" s="24">
        <v>-150</v>
      </c>
      <c r="I22" s="6">
        <v>15</v>
      </c>
      <c r="J22" s="6">
        <v>-44.5</v>
      </c>
      <c r="K22" s="25">
        <v>3</v>
      </c>
      <c r="L22" s="33">
        <v>-85.88</v>
      </c>
      <c r="M22" s="16">
        <v>43.5</v>
      </c>
      <c r="N22" s="16">
        <v>-3</v>
      </c>
      <c r="O22" s="34">
        <v>26.5</v>
      </c>
      <c r="P22" s="24">
        <v>-75</v>
      </c>
      <c r="Q22" s="6">
        <v>26.5</v>
      </c>
      <c r="R22" s="6">
        <v>7</v>
      </c>
      <c r="S22" s="25">
        <v>21</v>
      </c>
      <c r="T22" s="33">
        <v>-45</v>
      </c>
      <c r="U22" s="16">
        <v>15</v>
      </c>
      <c r="V22" s="16">
        <v>-8</v>
      </c>
      <c r="W22" s="34">
        <v>-4</v>
      </c>
      <c r="X22" s="24">
        <v>-45</v>
      </c>
      <c r="Y22" s="6">
        <v>-4</v>
      </c>
      <c r="Z22" s="6">
        <v>-3</v>
      </c>
      <c r="AA22" s="25">
        <v>-24</v>
      </c>
      <c r="AB22" s="33"/>
      <c r="AC22" s="16"/>
      <c r="AD22" s="34"/>
      <c r="AE22" s="24"/>
      <c r="AF22" s="6"/>
      <c r="AG22" s="25"/>
      <c r="AH22" s="33"/>
      <c r="AI22" s="16"/>
      <c r="AJ22" s="34"/>
      <c r="AK22" s="24"/>
      <c r="AL22" s="6"/>
      <c r="AM22" s="25"/>
      <c r="AN22" s="33"/>
      <c r="AO22" s="16"/>
      <c r="AP22" s="34"/>
      <c r="AQ22" s="24"/>
      <c r="AR22" s="6"/>
      <c r="AS22" s="25"/>
      <c r="AT22" s="18">
        <v>16</v>
      </c>
      <c r="AU22" s="16">
        <f t="shared" si="0"/>
        <v>-173.95</v>
      </c>
      <c r="AV22" s="16">
        <f t="shared" si="1"/>
        <v>12</v>
      </c>
      <c r="AW22" s="6">
        <f t="shared" si="2"/>
        <v>50.694299999999998</v>
      </c>
      <c r="AX22" s="29">
        <f t="shared" si="3"/>
        <v>12</v>
      </c>
      <c r="AY22" s="44">
        <f t="shared" si="4"/>
        <v>1347.8658</v>
      </c>
      <c r="AZ22" s="45">
        <f t="shared" si="5"/>
        <v>1266</v>
      </c>
      <c r="BA22" s="45">
        <f t="shared" si="6"/>
        <v>1408.96</v>
      </c>
      <c r="BB22" s="45">
        <f t="shared" si="7"/>
        <v>-451</v>
      </c>
      <c r="BC22" s="45">
        <f t="shared" si="8"/>
        <v>1543</v>
      </c>
      <c r="BD22" s="45">
        <f t="shared" si="9"/>
        <v>169.64600329384882</v>
      </c>
      <c r="BE22" s="46">
        <f t="shared" si="10"/>
        <v>5284.471803293849</v>
      </c>
    </row>
    <row r="23" spans="1:57" x14ac:dyDescent="0.25">
      <c r="A23">
        <f t="shared" si="11"/>
        <v>21</v>
      </c>
      <c r="B23" s="7" t="s">
        <v>31</v>
      </c>
      <c r="C23" s="29">
        <v>6</v>
      </c>
      <c r="D23" s="33">
        <v>-173.95</v>
      </c>
      <c r="E23" s="16">
        <v>15</v>
      </c>
      <c r="F23" s="16">
        <v>50.694299999999998</v>
      </c>
      <c r="G23" s="34">
        <v>21</v>
      </c>
      <c r="H23" s="24">
        <v>-150</v>
      </c>
      <c r="I23" s="6">
        <v>15</v>
      </c>
      <c r="J23" s="6">
        <v>-44.5</v>
      </c>
      <c r="K23" s="25">
        <v>3</v>
      </c>
      <c r="L23" s="33">
        <v>-85.88</v>
      </c>
      <c r="M23" s="16">
        <v>43.5</v>
      </c>
      <c r="N23" s="16">
        <v>-3</v>
      </c>
      <c r="O23" s="34">
        <v>26.5</v>
      </c>
      <c r="P23" s="24">
        <v>-75</v>
      </c>
      <c r="Q23" s="6">
        <v>26.5</v>
      </c>
      <c r="R23" s="6">
        <v>7</v>
      </c>
      <c r="S23" s="25">
        <v>21</v>
      </c>
      <c r="T23" s="33">
        <v>-45</v>
      </c>
      <c r="U23" s="16">
        <v>15</v>
      </c>
      <c r="V23" s="16">
        <v>-8</v>
      </c>
      <c r="W23" s="34">
        <v>-4</v>
      </c>
      <c r="X23" s="24">
        <v>-45</v>
      </c>
      <c r="Y23" s="6">
        <v>-4</v>
      </c>
      <c r="Z23" s="6">
        <v>-3</v>
      </c>
      <c r="AA23" s="25">
        <v>-24</v>
      </c>
      <c r="AB23" s="33"/>
      <c r="AC23" s="16"/>
      <c r="AD23" s="34"/>
      <c r="AE23" s="24"/>
      <c r="AF23" s="6"/>
      <c r="AG23" s="25"/>
      <c r="AH23" s="33"/>
      <c r="AI23" s="16"/>
      <c r="AJ23" s="34"/>
      <c r="AK23" s="24"/>
      <c r="AL23" s="6"/>
      <c r="AM23" s="25"/>
      <c r="AN23" s="33"/>
      <c r="AO23" s="16"/>
      <c r="AP23" s="34"/>
      <c r="AQ23" s="24"/>
      <c r="AR23" s="6"/>
      <c r="AS23" s="25"/>
      <c r="AT23" s="18">
        <v>16</v>
      </c>
      <c r="AU23" s="16">
        <f t="shared" si="0"/>
        <v>-173.95</v>
      </c>
      <c r="AV23" s="16">
        <f t="shared" si="1"/>
        <v>12</v>
      </c>
      <c r="AW23" s="6">
        <f t="shared" si="2"/>
        <v>50.694299999999998</v>
      </c>
      <c r="AX23" s="29">
        <f t="shared" si="3"/>
        <v>12</v>
      </c>
      <c r="AY23" s="44">
        <f t="shared" si="4"/>
        <v>1347.8658</v>
      </c>
      <c r="AZ23" s="45">
        <f t="shared" si="5"/>
        <v>1266</v>
      </c>
      <c r="BA23" s="45">
        <f t="shared" si="6"/>
        <v>1408.96</v>
      </c>
      <c r="BB23" s="45">
        <f t="shared" si="7"/>
        <v>-451</v>
      </c>
      <c r="BC23" s="45">
        <f t="shared" si="8"/>
        <v>1543</v>
      </c>
      <c r="BD23" s="45">
        <f t="shared" si="9"/>
        <v>169.64600329384882</v>
      </c>
      <c r="BE23" s="46">
        <f t="shared" si="10"/>
        <v>5284.471803293849</v>
      </c>
    </row>
    <row r="24" spans="1:57" x14ac:dyDescent="0.25">
      <c r="A24">
        <f t="shared" si="11"/>
        <v>22</v>
      </c>
      <c r="B24" s="7" t="s">
        <v>32</v>
      </c>
      <c r="C24" s="29">
        <v>6</v>
      </c>
      <c r="D24" s="33">
        <v>-173.95</v>
      </c>
      <c r="E24" s="16">
        <v>15</v>
      </c>
      <c r="F24" s="16">
        <v>50.694299999999998</v>
      </c>
      <c r="G24" s="34">
        <v>21</v>
      </c>
      <c r="H24" s="24">
        <v>-150</v>
      </c>
      <c r="I24" s="6">
        <v>15</v>
      </c>
      <c r="J24" s="6">
        <v>-44.5</v>
      </c>
      <c r="K24" s="25">
        <v>3</v>
      </c>
      <c r="L24" s="33">
        <v>-85.88</v>
      </c>
      <c r="M24" s="16">
        <v>43.5</v>
      </c>
      <c r="N24" s="16">
        <v>-3</v>
      </c>
      <c r="O24" s="34">
        <v>26.5</v>
      </c>
      <c r="P24" s="24">
        <v>-75</v>
      </c>
      <c r="Q24" s="6">
        <v>26.5</v>
      </c>
      <c r="R24" s="6">
        <v>7</v>
      </c>
      <c r="S24" s="25">
        <v>21</v>
      </c>
      <c r="T24" s="33">
        <v>-45</v>
      </c>
      <c r="U24" s="16">
        <v>15</v>
      </c>
      <c r="V24" s="16">
        <v>-8</v>
      </c>
      <c r="W24" s="34">
        <v>-4</v>
      </c>
      <c r="X24" s="24">
        <v>-45</v>
      </c>
      <c r="Y24" s="6">
        <v>-4</v>
      </c>
      <c r="Z24" s="6">
        <v>-3</v>
      </c>
      <c r="AA24" s="25">
        <v>-24</v>
      </c>
      <c r="AB24" s="33"/>
      <c r="AC24" s="16"/>
      <c r="AD24" s="34"/>
      <c r="AE24" s="24"/>
      <c r="AF24" s="6"/>
      <c r="AG24" s="25"/>
      <c r="AH24" s="33"/>
      <c r="AI24" s="16"/>
      <c r="AJ24" s="34"/>
      <c r="AK24" s="24"/>
      <c r="AL24" s="6"/>
      <c r="AM24" s="25"/>
      <c r="AN24" s="33"/>
      <c r="AO24" s="16"/>
      <c r="AP24" s="34"/>
      <c r="AQ24" s="24"/>
      <c r="AR24" s="6"/>
      <c r="AS24" s="25"/>
      <c r="AT24" s="18">
        <v>16</v>
      </c>
      <c r="AU24" s="16">
        <f t="shared" si="0"/>
        <v>-173.95</v>
      </c>
      <c r="AV24" s="16">
        <f t="shared" si="1"/>
        <v>12</v>
      </c>
      <c r="AW24" s="6">
        <f t="shared" si="2"/>
        <v>50.694299999999998</v>
      </c>
      <c r="AX24" s="29">
        <f t="shared" si="3"/>
        <v>12</v>
      </c>
      <c r="AY24" s="44">
        <f t="shared" si="4"/>
        <v>1347.8658</v>
      </c>
      <c r="AZ24" s="45">
        <f t="shared" si="5"/>
        <v>1266</v>
      </c>
      <c r="BA24" s="45">
        <f t="shared" si="6"/>
        <v>1408.96</v>
      </c>
      <c r="BB24" s="45">
        <f t="shared" si="7"/>
        <v>-451</v>
      </c>
      <c r="BC24" s="45">
        <f t="shared" si="8"/>
        <v>1543</v>
      </c>
      <c r="BD24" s="45">
        <f t="shared" si="9"/>
        <v>169.64600329384882</v>
      </c>
      <c r="BE24" s="46">
        <f t="shared" si="10"/>
        <v>5284.471803293849</v>
      </c>
    </row>
    <row r="25" spans="1:57" x14ac:dyDescent="0.25">
      <c r="A25">
        <f t="shared" si="11"/>
        <v>23</v>
      </c>
      <c r="B25" s="7" t="s">
        <v>33</v>
      </c>
      <c r="C25" s="29">
        <v>6</v>
      </c>
      <c r="D25" s="33">
        <v>-173.95</v>
      </c>
      <c r="E25" s="16">
        <v>15</v>
      </c>
      <c r="F25" s="16">
        <v>50.694299999999998</v>
      </c>
      <c r="G25" s="34">
        <v>21</v>
      </c>
      <c r="H25" s="24">
        <v>-150</v>
      </c>
      <c r="I25" s="6">
        <v>15</v>
      </c>
      <c r="J25" s="6">
        <v>-44.5</v>
      </c>
      <c r="K25" s="25">
        <v>3</v>
      </c>
      <c r="L25" s="33">
        <v>-85.88</v>
      </c>
      <c r="M25" s="16">
        <v>43.5</v>
      </c>
      <c r="N25" s="16">
        <v>-3</v>
      </c>
      <c r="O25" s="34">
        <v>26.5</v>
      </c>
      <c r="P25" s="24">
        <v>-75</v>
      </c>
      <c r="Q25" s="6">
        <v>26.5</v>
      </c>
      <c r="R25" s="6">
        <v>7</v>
      </c>
      <c r="S25" s="25">
        <v>21</v>
      </c>
      <c r="T25" s="33">
        <v>-45</v>
      </c>
      <c r="U25" s="16">
        <v>15</v>
      </c>
      <c r="V25" s="16">
        <v>-8</v>
      </c>
      <c r="W25" s="34">
        <v>-4</v>
      </c>
      <c r="X25" s="24">
        <v>-45</v>
      </c>
      <c r="Y25" s="6">
        <v>-4</v>
      </c>
      <c r="Z25" s="6">
        <v>-3</v>
      </c>
      <c r="AA25" s="25">
        <v>-24</v>
      </c>
      <c r="AB25" s="33"/>
      <c r="AC25" s="16"/>
      <c r="AD25" s="34"/>
      <c r="AE25" s="24"/>
      <c r="AF25" s="6"/>
      <c r="AG25" s="25"/>
      <c r="AH25" s="33"/>
      <c r="AI25" s="16"/>
      <c r="AJ25" s="34"/>
      <c r="AK25" s="24"/>
      <c r="AL25" s="6"/>
      <c r="AM25" s="25"/>
      <c r="AN25" s="33"/>
      <c r="AO25" s="16"/>
      <c r="AP25" s="34"/>
      <c r="AQ25" s="24"/>
      <c r="AR25" s="6"/>
      <c r="AS25" s="25"/>
      <c r="AT25" s="18">
        <v>16</v>
      </c>
      <c r="AU25" s="16">
        <f t="shared" si="0"/>
        <v>-173.95</v>
      </c>
      <c r="AV25" s="16">
        <f t="shared" si="1"/>
        <v>12</v>
      </c>
      <c r="AW25" s="6">
        <f t="shared" si="2"/>
        <v>50.694299999999998</v>
      </c>
      <c r="AX25" s="29">
        <f t="shared" si="3"/>
        <v>12</v>
      </c>
      <c r="AY25" s="44">
        <f t="shared" si="4"/>
        <v>1347.8658</v>
      </c>
      <c r="AZ25" s="45">
        <f t="shared" si="5"/>
        <v>1266</v>
      </c>
      <c r="BA25" s="45">
        <f t="shared" si="6"/>
        <v>1408.96</v>
      </c>
      <c r="BB25" s="45">
        <f t="shared" si="7"/>
        <v>-451</v>
      </c>
      <c r="BC25" s="45">
        <f t="shared" si="8"/>
        <v>1543</v>
      </c>
      <c r="BD25" s="45">
        <f t="shared" si="9"/>
        <v>169.64600329384882</v>
      </c>
      <c r="BE25" s="46">
        <f t="shared" si="10"/>
        <v>5284.471803293849</v>
      </c>
    </row>
    <row r="26" spans="1:57" x14ac:dyDescent="0.25">
      <c r="A26">
        <f t="shared" si="11"/>
        <v>24</v>
      </c>
      <c r="B26" s="7" t="s">
        <v>34</v>
      </c>
      <c r="C26" s="29">
        <v>6</v>
      </c>
      <c r="D26" s="33">
        <v>-173.95</v>
      </c>
      <c r="E26" s="16">
        <v>15</v>
      </c>
      <c r="F26" s="16">
        <v>50.694299999999998</v>
      </c>
      <c r="G26" s="34">
        <v>21</v>
      </c>
      <c r="H26" s="24">
        <v>-150</v>
      </c>
      <c r="I26" s="6">
        <v>15</v>
      </c>
      <c r="J26" s="6">
        <v>-44.5</v>
      </c>
      <c r="K26" s="25">
        <v>3</v>
      </c>
      <c r="L26" s="33">
        <v>-85.88</v>
      </c>
      <c r="M26" s="16">
        <v>43.5</v>
      </c>
      <c r="N26" s="16">
        <v>-3</v>
      </c>
      <c r="O26" s="34">
        <v>26.5</v>
      </c>
      <c r="P26" s="24">
        <v>-75</v>
      </c>
      <c r="Q26" s="6">
        <v>26.5</v>
      </c>
      <c r="R26" s="6">
        <v>7</v>
      </c>
      <c r="S26" s="25">
        <v>21</v>
      </c>
      <c r="T26" s="33">
        <v>-45</v>
      </c>
      <c r="U26" s="16">
        <v>15</v>
      </c>
      <c r="V26" s="16">
        <v>-8</v>
      </c>
      <c r="W26" s="34">
        <v>-4</v>
      </c>
      <c r="X26" s="24">
        <v>-45</v>
      </c>
      <c r="Y26" s="6">
        <v>-4</v>
      </c>
      <c r="Z26" s="6">
        <v>-3</v>
      </c>
      <c r="AA26" s="25">
        <v>-24</v>
      </c>
      <c r="AB26" s="33"/>
      <c r="AC26" s="16"/>
      <c r="AD26" s="34"/>
      <c r="AE26" s="24"/>
      <c r="AF26" s="6"/>
      <c r="AG26" s="25"/>
      <c r="AH26" s="33"/>
      <c r="AI26" s="16"/>
      <c r="AJ26" s="34"/>
      <c r="AK26" s="24"/>
      <c r="AL26" s="6"/>
      <c r="AM26" s="25"/>
      <c r="AN26" s="33"/>
      <c r="AO26" s="16"/>
      <c r="AP26" s="34"/>
      <c r="AQ26" s="24"/>
      <c r="AR26" s="6"/>
      <c r="AS26" s="25"/>
      <c r="AT26" s="18">
        <v>16</v>
      </c>
      <c r="AU26" s="16">
        <f t="shared" si="0"/>
        <v>-173.95</v>
      </c>
      <c r="AV26" s="16">
        <f t="shared" si="1"/>
        <v>12</v>
      </c>
      <c r="AW26" s="6">
        <f t="shared" si="2"/>
        <v>50.694299999999998</v>
      </c>
      <c r="AX26" s="29">
        <f t="shared" si="3"/>
        <v>12</v>
      </c>
      <c r="AY26" s="44">
        <f t="shared" si="4"/>
        <v>1347.8658</v>
      </c>
      <c r="AZ26" s="45">
        <f t="shared" si="5"/>
        <v>1266</v>
      </c>
      <c r="BA26" s="45">
        <f t="shared" si="6"/>
        <v>1408.96</v>
      </c>
      <c r="BB26" s="45">
        <f t="shared" si="7"/>
        <v>-451</v>
      </c>
      <c r="BC26" s="45">
        <f t="shared" si="8"/>
        <v>1543</v>
      </c>
      <c r="BD26" s="45">
        <f t="shared" si="9"/>
        <v>169.64600329384882</v>
      </c>
      <c r="BE26" s="46">
        <f t="shared" si="10"/>
        <v>5284.471803293849</v>
      </c>
    </row>
    <row r="27" spans="1:57" x14ac:dyDescent="0.25">
      <c r="A27">
        <f t="shared" si="11"/>
        <v>25</v>
      </c>
      <c r="B27" s="7" t="s">
        <v>35</v>
      </c>
      <c r="C27" s="29">
        <v>6</v>
      </c>
      <c r="D27" s="33">
        <v>-173.95</v>
      </c>
      <c r="E27" s="16">
        <v>15</v>
      </c>
      <c r="F27" s="16">
        <v>50.694299999999998</v>
      </c>
      <c r="G27" s="34">
        <v>21</v>
      </c>
      <c r="H27" s="24">
        <v>-150</v>
      </c>
      <c r="I27" s="6">
        <v>15</v>
      </c>
      <c r="J27" s="6">
        <v>-44.5</v>
      </c>
      <c r="K27" s="25">
        <v>3</v>
      </c>
      <c r="L27" s="33">
        <v>-85.88</v>
      </c>
      <c r="M27" s="16">
        <v>43.5</v>
      </c>
      <c r="N27" s="16">
        <v>-3</v>
      </c>
      <c r="O27" s="34">
        <v>26.5</v>
      </c>
      <c r="P27" s="24">
        <v>-75</v>
      </c>
      <c r="Q27" s="6">
        <v>26.5</v>
      </c>
      <c r="R27" s="6">
        <v>7</v>
      </c>
      <c r="S27" s="25">
        <v>21</v>
      </c>
      <c r="T27" s="33">
        <v>-45</v>
      </c>
      <c r="U27" s="16">
        <v>15</v>
      </c>
      <c r="V27" s="16">
        <v>-8</v>
      </c>
      <c r="W27" s="34">
        <v>-4</v>
      </c>
      <c r="X27" s="24">
        <v>-45</v>
      </c>
      <c r="Y27" s="6">
        <v>-4</v>
      </c>
      <c r="Z27" s="6">
        <v>-3</v>
      </c>
      <c r="AA27" s="25">
        <v>-24</v>
      </c>
      <c r="AB27" s="33"/>
      <c r="AC27" s="16"/>
      <c r="AD27" s="34"/>
      <c r="AE27" s="24"/>
      <c r="AF27" s="6"/>
      <c r="AG27" s="25"/>
      <c r="AH27" s="33"/>
      <c r="AI27" s="16"/>
      <c r="AJ27" s="34"/>
      <c r="AK27" s="24"/>
      <c r="AL27" s="6"/>
      <c r="AM27" s="25"/>
      <c r="AN27" s="33"/>
      <c r="AO27" s="16"/>
      <c r="AP27" s="34"/>
      <c r="AQ27" s="24"/>
      <c r="AR27" s="6"/>
      <c r="AS27" s="25"/>
      <c r="AT27" s="18">
        <v>16</v>
      </c>
      <c r="AU27" s="16">
        <f t="shared" si="0"/>
        <v>-173.95</v>
      </c>
      <c r="AV27" s="16">
        <f t="shared" si="1"/>
        <v>12</v>
      </c>
      <c r="AW27" s="6">
        <f t="shared" si="2"/>
        <v>50.694299999999998</v>
      </c>
      <c r="AX27" s="29">
        <f t="shared" si="3"/>
        <v>12</v>
      </c>
      <c r="AY27" s="44">
        <f t="shared" si="4"/>
        <v>1347.8658</v>
      </c>
      <c r="AZ27" s="45">
        <f t="shared" si="5"/>
        <v>1266</v>
      </c>
      <c r="BA27" s="45">
        <f t="shared" si="6"/>
        <v>1408.96</v>
      </c>
      <c r="BB27" s="45">
        <f t="shared" si="7"/>
        <v>-451</v>
      </c>
      <c r="BC27" s="45">
        <f t="shared" si="8"/>
        <v>1543</v>
      </c>
      <c r="BD27" s="45">
        <f t="shared" si="9"/>
        <v>169.64600329384882</v>
      </c>
      <c r="BE27" s="46">
        <f t="shared" si="10"/>
        <v>5284.471803293849</v>
      </c>
    </row>
    <row r="28" spans="1:57" x14ac:dyDescent="0.25">
      <c r="A28">
        <f t="shared" si="11"/>
        <v>26</v>
      </c>
      <c r="B28" s="7" t="s">
        <v>36</v>
      </c>
      <c r="C28" s="29">
        <v>6</v>
      </c>
      <c r="D28" s="33">
        <v>-173.95</v>
      </c>
      <c r="E28" s="16">
        <v>15</v>
      </c>
      <c r="F28" s="16">
        <v>50.694299999999998</v>
      </c>
      <c r="G28" s="34">
        <v>21</v>
      </c>
      <c r="H28" s="24">
        <v>-150</v>
      </c>
      <c r="I28" s="6">
        <v>15</v>
      </c>
      <c r="J28" s="6">
        <v>-44.5</v>
      </c>
      <c r="K28" s="25">
        <v>3</v>
      </c>
      <c r="L28" s="33">
        <v>-85.88</v>
      </c>
      <c r="M28" s="16">
        <v>43.5</v>
      </c>
      <c r="N28" s="16">
        <v>-3</v>
      </c>
      <c r="O28" s="34">
        <v>26.5</v>
      </c>
      <c r="P28" s="24">
        <v>-75</v>
      </c>
      <c r="Q28" s="6">
        <v>26.5</v>
      </c>
      <c r="R28" s="6">
        <v>7</v>
      </c>
      <c r="S28" s="25">
        <v>21</v>
      </c>
      <c r="T28" s="33">
        <v>-45</v>
      </c>
      <c r="U28" s="16">
        <v>15</v>
      </c>
      <c r="V28" s="16">
        <v>-8</v>
      </c>
      <c r="W28" s="34">
        <v>-4</v>
      </c>
      <c r="X28" s="24">
        <v>-45</v>
      </c>
      <c r="Y28" s="6">
        <v>-4</v>
      </c>
      <c r="Z28" s="6">
        <v>-3</v>
      </c>
      <c r="AA28" s="25">
        <v>-24</v>
      </c>
      <c r="AB28" s="33"/>
      <c r="AC28" s="16"/>
      <c r="AD28" s="34"/>
      <c r="AE28" s="24"/>
      <c r="AF28" s="6"/>
      <c r="AG28" s="25"/>
      <c r="AH28" s="33"/>
      <c r="AI28" s="16"/>
      <c r="AJ28" s="34"/>
      <c r="AK28" s="24"/>
      <c r="AL28" s="6"/>
      <c r="AM28" s="25"/>
      <c r="AN28" s="33"/>
      <c r="AO28" s="16"/>
      <c r="AP28" s="34"/>
      <c r="AQ28" s="24"/>
      <c r="AR28" s="6"/>
      <c r="AS28" s="25"/>
      <c r="AT28" s="18">
        <v>16</v>
      </c>
      <c r="AU28" s="16">
        <f t="shared" si="0"/>
        <v>-173.95</v>
      </c>
      <c r="AV28" s="16">
        <f t="shared" si="1"/>
        <v>12</v>
      </c>
      <c r="AW28" s="6">
        <f t="shared" si="2"/>
        <v>50.694299999999998</v>
      </c>
      <c r="AX28" s="29">
        <f t="shared" si="3"/>
        <v>12</v>
      </c>
      <c r="AY28" s="44">
        <f t="shared" si="4"/>
        <v>1347.8658</v>
      </c>
      <c r="AZ28" s="45">
        <f t="shared" si="5"/>
        <v>1266</v>
      </c>
      <c r="BA28" s="45">
        <f t="shared" si="6"/>
        <v>1408.96</v>
      </c>
      <c r="BB28" s="45">
        <f t="shared" si="7"/>
        <v>-451</v>
      </c>
      <c r="BC28" s="45">
        <f t="shared" si="8"/>
        <v>1543</v>
      </c>
      <c r="BD28" s="45">
        <f t="shared" si="9"/>
        <v>169.64600329384882</v>
      </c>
      <c r="BE28" s="46">
        <f t="shared" si="10"/>
        <v>5284.471803293849</v>
      </c>
    </row>
    <row r="29" spans="1:57" x14ac:dyDescent="0.25">
      <c r="A29">
        <f t="shared" si="11"/>
        <v>27</v>
      </c>
      <c r="B29" s="13" t="s">
        <v>37</v>
      </c>
      <c r="C29" s="52">
        <v>6</v>
      </c>
      <c r="D29" s="50">
        <v>-179.64500000000001</v>
      </c>
      <c r="E29" s="47">
        <v>-18</v>
      </c>
      <c r="F29" s="47">
        <v>38.064999999999998</v>
      </c>
      <c r="G29" s="51">
        <v>-24</v>
      </c>
      <c r="H29" s="50">
        <v>-171.55199999999999</v>
      </c>
      <c r="I29" s="47">
        <v>-4.2489999999999997</v>
      </c>
      <c r="J29" s="47">
        <v>-50.5</v>
      </c>
      <c r="K29" s="51">
        <v>-17.908999999999999</v>
      </c>
      <c r="L29" s="50">
        <v>-71.537999999999997</v>
      </c>
      <c r="M29" s="47">
        <v>-28</v>
      </c>
      <c r="N29" s="47">
        <v>4.5</v>
      </c>
      <c r="O29" s="51">
        <v>-43</v>
      </c>
      <c r="P29" s="50">
        <v>-71.5</v>
      </c>
      <c r="Q29" s="47">
        <v>-24</v>
      </c>
      <c r="R29" s="47">
        <v>12.5</v>
      </c>
      <c r="S29" s="51">
        <v>-28</v>
      </c>
      <c r="T29" s="50">
        <v>-50.5</v>
      </c>
      <c r="U29" s="47">
        <v>5</v>
      </c>
      <c r="V29" s="47">
        <v>-5.5</v>
      </c>
      <c r="W29" s="51">
        <v>-18</v>
      </c>
      <c r="X29" s="50">
        <v>-50.5</v>
      </c>
      <c r="Y29" s="47">
        <v>17</v>
      </c>
      <c r="Z29" s="47">
        <v>-29.5</v>
      </c>
      <c r="AA29" s="51">
        <v>5</v>
      </c>
      <c r="AB29" s="50">
        <v>-18.149000000000001</v>
      </c>
      <c r="AC29" s="47">
        <v>9.5020000000000007</v>
      </c>
      <c r="AD29" s="51">
        <v>4.7</v>
      </c>
      <c r="AE29" s="50">
        <v>8.7484999999999999</v>
      </c>
      <c r="AF29" s="47">
        <v>9.6300000000000008</v>
      </c>
      <c r="AG29" s="51">
        <v>4.58</v>
      </c>
      <c r="AH29" s="50">
        <v>0</v>
      </c>
      <c r="AI29" s="47">
        <v>10.172000000000001</v>
      </c>
      <c r="AJ29" s="51">
        <v>4.0369999999999999</v>
      </c>
      <c r="AK29" s="50">
        <v>-1.877</v>
      </c>
      <c r="AL29" s="47">
        <v>9.7279999999999998</v>
      </c>
      <c r="AM29" s="51">
        <v>3.7</v>
      </c>
      <c r="AN29" s="50">
        <v>5.19</v>
      </c>
      <c r="AO29" s="47">
        <v>7.6449999999999996</v>
      </c>
      <c r="AP29" s="51">
        <v>3.262</v>
      </c>
      <c r="AQ29" s="50"/>
      <c r="AR29" s="47"/>
      <c r="AS29" s="51"/>
      <c r="AT29" s="53">
        <v>11.09</v>
      </c>
      <c r="AU29" s="47">
        <f>+D29</f>
        <v>-179.64500000000001</v>
      </c>
      <c r="AV29" s="47">
        <f>-C29/2+E29</f>
        <v>-21</v>
      </c>
      <c r="AW29" s="47">
        <f>+F29</f>
        <v>38.064999999999998</v>
      </c>
      <c r="AX29" s="52">
        <f>-C29/2+E29</f>
        <v>-21</v>
      </c>
      <c r="AY29" s="44">
        <f t="shared" si="4"/>
        <v>1306.26</v>
      </c>
      <c r="AZ29" s="45">
        <f t="shared" si="5"/>
        <v>1653.5703199999998</v>
      </c>
      <c r="BA29" s="45">
        <f t="shared" si="6"/>
        <v>1140.57</v>
      </c>
      <c r="BB29" s="45">
        <f t="shared" si="7"/>
        <v>-336</v>
      </c>
      <c r="BC29" s="45">
        <f t="shared" si="8"/>
        <v>1287</v>
      </c>
      <c r="BD29" s="45">
        <f t="shared" si="9"/>
        <v>814.82990085404344</v>
      </c>
      <c r="BE29" s="46">
        <f t="shared" si="10"/>
        <v>5866.2302208540432</v>
      </c>
    </row>
    <row r="30" spans="1:57" x14ac:dyDescent="0.25">
      <c r="A30">
        <f t="shared" si="11"/>
        <v>28</v>
      </c>
      <c r="B30" s="7" t="s">
        <v>39</v>
      </c>
      <c r="C30" s="30">
        <v>6</v>
      </c>
      <c r="D30" s="35">
        <v>-179.64500000000001</v>
      </c>
      <c r="E30" s="17">
        <v>-18</v>
      </c>
      <c r="F30" s="17">
        <v>38.064999999999998</v>
      </c>
      <c r="G30" s="36">
        <v>-24</v>
      </c>
      <c r="H30" s="37">
        <v>-171.5</v>
      </c>
      <c r="I30" s="7">
        <v>-4</v>
      </c>
      <c r="J30" s="7">
        <v>-50.5</v>
      </c>
      <c r="K30" s="38">
        <v>-18</v>
      </c>
      <c r="L30" s="35">
        <v>-71.5</v>
      </c>
      <c r="M30" s="16">
        <v>-28</v>
      </c>
      <c r="N30" s="16">
        <v>4.5</v>
      </c>
      <c r="O30" s="34">
        <v>-43</v>
      </c>
      <c r="P30" s="24">
        <v>-71.5</v>
      </c>
      <c r="Q30" s="6">
        <v>-24</v>
      </c>
      <c r="R30" s="6">
        <v>12.5</v>
      </c>
      <c r="S30" s="25">
        <v>-28</v>
      </c>
      <c r="T30" s="33">
        <v>-50.5</v>
      </c>
      <c r="U30" s="16">
        <v>17</v>
      </c>
      <c r="V30" s="16">
        <v>-29.5</v>
      </c>
      <c r="W30" s="34">
        <v>5</v>
      </c>
      <c r="X30" s="24">
        <v>-50.5</v>
      </c>
      <c r="Y30" s="6">
        <v>5</v>
      </c>
      <c r="Z30" s="6">
        <v>-5.5</v>
      </c>
      <c r="AA30" s="25">
        <v>-18</v>
      </c>
      <c r="AB30" s="33">
        <v>-18.149000000000001</v>
      </c>
      <c r="AC30" s="16">
        <v>9.5020000000000007</v>
      </c>
      <c r="AD30" s="34">
        <v>4.7</v>
      </c>
      <c r="AE30" s="24">
        <v>-8.75</v>
      </c>
      <c r="AF30" s="6">
        <v>9.6300000000000008</v>
      </c>
      <c r="AG30" s="25">
        <v>4.58</v>
      </c>
      <c r="AH30" s="33">
        <v>0</v>
      </c>
      <c r="AI30" s="16">
        <v>10.17</v>
      </c>
      <c r="AJ30" s="34">
        <v>4.0369999999999999</v>
      </c>
      <c r="AK30" s="24">
        <v>-1.877</v>
      </c>
      <c r="AL30" s="6">
        <v>-9.7279999999999998</v>
      </c>
      <c r="AM30" s="25">
        <v>3.7</v>
      </c>
      <c r="AN30" s="33">
        <v>5.19</v>
      </c>
      <c r="AO30" s="16">
        <v>-7.6449999999999996</v>
      </c>
      <c r="AP30" s="34">
        <v>3.262</v>
      </c>
      <c r="AQ30" s="24"/>
      <c r="AR30" s="6"/>
      <c r="AS30" s="25"/>
      <c r="AT30" s="18">
        <v>11.09</v>
      </c>
      <c r="AU30" s="16">
        <f t="shared" ref="AU30:AU35" si="12">+D30</f>
        <v>-179.64500000000001</v>
      </c>
      <c r="AV30" s="16">
        <f t="shared" ref="AV30:AV35" si="13">-C30/2+E30</f>
        <v>-21</v>
      </c>
      <c r="AW30" s="6">
        <f t="shared" ref="AW30:AW35" si="14">+F30</f>
        <v>38.064999999999998</v>
      </c>
      <c r="AX30" s="29">
        <f t="shared" ref="AX30:AX35" si="15">-C30/2+E30</f>
        <v>-21</v>
      </c>
      <c r="AY30" s="44">
        <f t="shared" si="4"/>
        <v>1306.26</v>
      </c>
      <c r="AZ30" s="45">
        <f t="shared" si="5"/>
        <v>1694</v>
      </c>
      <c r="BA30" s="45">
        <f t="shared" si="6"/>
        <v>1140</v>
      </c>
      <c r="BB30" s="45">
        <f t="shared" si="7"/>
        <v>-336</v>
      </c>
      <c r="BC30" s="45">
        <f t="shared" si="8"/>
        <v>1287</v>
      </c>
      <c r="BD30" s="45">
        <f t="shared" si="9"/>
        <v>814.82990085404344</v>
      </c>
      <c r="BE30" s="46">
        <f t="shared" si="10"/>
        <v>5906.0899008540437</v>
      </c>
    </row>
    <row r="31" spans="1:57" x14ac:dyDescent="0.25">
      <c r="A31">
        <f t="shared" si="11"/>
        <v>29</v>
      </c>
      <c r="B31" s="7" t="s">
        <v>40</v>
      </c>
      <c r="C31" s="30">
        <v>6</v>
      </c>
      <c r="D31" s="35">
        <v>-179.64500000000001</v>
      </c>
      <c r="E31" s="17">
        <v>-18</v>
      </c>
      <c r="F31" s="17">
        <v>38.064999999999998</v>
      </c>
      <c r="G31" s="36">
        <v>-24</v>
      </c>
      <c r="H31" s="37">
        <v>-171.5</v>
      </c>
      <c r="I31" s="7">
        <v>-4</v>
      </c>
      <c r="J31" s="7">
        <v>-50.5</v>
      </c>
      <c r="K31" s="38">
        <v>-18</v>
      </c>
      <c r="L31" s="35">
        <v>-71.5</v>
      </c>
      <c r="M31" s="16">
        <v>-28</v>
      </c>
      <c r="N31" s="16">
        <v>4.5</v>
      </c>
      <c r="O31" s="34">
        <v>-43</v>
      </c>
      <c r="P31" s="24">
        <v>-71.5</v>
      </c>
      <c r="Q31" s="6">
        <v>-24</v>
      </c>
      <c r="R31" s="6">
        <v>12.5</v>
      </c>
      <c r="S31" s="25">
        <v>-28</v>
      </c>
      <c r="T31" s="33">
        <v>-50.5</v>
      </c>
      <c r="U31" s="16">
        <v>17</v>
      </c>
      <c r="V31" s="16">
        <v>-29.5</v>
      </c>
      <c r="W31" s="34">
        <v>5</v>
      </c>
      <c r="X31" s="24">
        <v>-50.5</v>
      </c>
      <c r="Y31" s="6">
        <v>5</v>
      </c>
      <c r="Z31" s="6">
        <v>-5.5</v>
      </c>
      <c r="AA31" s="25">
        <v>-18</v>
      </c>
      <c r="AB31" s="33">
        <v>-18.149000000000001</v>
      </c>
      <c r="AC31" s="16">
        <v>9.5020000000000007</v>
      </c>
      <c r="AD31" s="34">
        <v>4.7</v>
      </c>
      <c r="AE31" s="24">
        <v>-8.75</v>
      </c>
      <c r="AF31" s="6">
        <v>9.6300000000000008</v>
      </c>
      <c r="AG31" s="25">
        <v>4.58</v>
      </c>
      <c r="AH31" s="33">
        <v>0</v>
      </c>
      <c r="AI31" s="16">
        <v>10.17</v>
      </c>
      <c r="AJ31" s="34">
        <v>4.0369999999999999</v>
      </c>
      <c r="AK31" s="24">
        <v>-1.877</v>
      </c>
      <c r="AL31" s="6">
        <v>-9.7279999999999998</v>
      </c>
      <c r="AM31" s="25">
        <v>3.7</v>
      </c>
      <c r="AN31" s="33">
        <v>5.19</v>
      </c>
      <c r="AO31" s="16">
        <v>-7.6449999999999996</v>
      </c>
      <c r="AP31" s="34">
        <v>3.262</v>
      </c>
      <c r="AQ31" s="24"/>
      <c r="AR31" s="6"/>
      <c r="AS31" s="25"/>
      <c r="AT31" s="18">
        <v>11.09</v>
      </c>
      <c r="AU31" s="16">
        <f t="shared" si="12"/>
        <v>-179.64500000000001</v>
      </c>
      <c r="AV31" s="16">
        <f t="shared" si="13"/>
        <v>-21</v>
      </c>
      <c r="AW31" s="6">
        <f t="shared" si="14"/>
        <v>38.064999999999998</v>
      </c>
      <c r="AX31" s="29">
        <f t="shared" si="15"/>
        <v>-21</v>
      </c>
      <c r="AY31" s="44">
        <f t="shared" ref="AY31:AY47" si="16">+ABS((D31-F31)*(E31-G31))</f>
        <v>1306.26</v>
      </c>
      <c r="AZ31" s="45">
        <f t="shared" ref="AZ31:AZ47" si="17">+ABS((H31-J31)*(I31-K31))</f>
        <v>1694</v>
      </c>
      <c r="BA31" s="45">
        <f t="shared" ref="BA31:BA47" si="18">+ABS((L31-N31)*(M31-O31))</f>
        <v>1140</v>
      </c>
      <c r="BB31" s="45">
        <f t="shared" ref="BB31:BB47" si="19">+(P31-R31)*(Q31-S31)</f>
        <v>-336</v>
      </c>
      <c r="BC31" s="45">
        <f t="shared" ref="BC31:BC47" si="20">+ABS((T31-V31)*(U31-W31))+ABS((X31-Z31)*(Y31-AA31))</f>
        <v>1287</v>
      </c>
      <c r="BD31" s="45">
        <f t="shared" ref="BD31:BD46" si="21">+PI()*((AD31+3)^2+(AG31+3)^2+(AJ31+3)^2+(AM31+3)^2+(AP31+3)^2+(AS31+3)^2)</f>
        <v>814.82990085404344</v>
      </c>
      <c r="BE31" s="46">
        <f t="shared" ref="BE31:BE46" si="22">+SUM(AY31:BD31)</f>
        <v>5906.0899008540437</v>
      </c>
    </row>
    <row r="32" spans="1:57" x14ac:dyDescent="0.25">
      <c r="A32">
        <f t="shared" si="11"/>
        <v>30</v>
      </c>
      <c r="B32" s="7" t="s">
        <v>41</v>
      </c>
      <c r="C32" s="30">
        <v>6</v>
      </c>
      <c r="D32" s="35">
        <v>-179.64500000000001</v>
      </c>
      <c r="E32" s="17">
        <v>-18</v>
      </c>
      <c r="F32" s="17">
        <v>38.064999999999998</v>
      </c>
      <c r="G32" s="36">
        <v>-24</v>
      </c>
      <c r="H32" s="37">
        <v>-171.5</v>
      </c>
      <c r="I32" s="7">
        <v>-4</v>
      </c>
      <c r="J32" s="7">
        <v>-50.5</v>
      </c>
      <c r="K32" s="38">
        <v>-18</v>
      </c>
      <c r="L32" s="35">
        <v>-71.5</v>
      </c>
      <c r="M32" s="16">
        <v>-28</v>
      </c>
      <c r="N32" s="16">
        <v>4.5</v>
      </c>
      <c r="O32" s="34">
        <v>-43</v>
      </c>
      <c r="P32" s="24">
        <v>-71.5</v>
      </c>
      <c r="Q32" s="6">
        <v>-24</v>
      </c>
      <c r="R32" s="6">
        <v>12.5</v>
      </c>
      <c r="S32" s="25">
        <v>-28</v>
      </c>
      <c r="T32" s="33">
        <v>-50.5</v>
      </c>
      <c r="U32" s="16">
        <v>17</v>
      </c>
      <c r="V32" s="16">
        <v>-29.5</v>
      </c>
      <c r="W32" s="34">
        <v>5</v>
      </c>
      <c r="X32" s="24">
        <v>-50.5</v>
      </c>
      <c r="Y32" s="6">
        <v>5</v>
      </c>
      <c r="Z32" s="6">
        <v>-5.5</v>
      </c>
      <c r="AA32" s="25">
        <v>-18</v>
      </c>
      <c r="AB32" s="33">
        <v>-18.149000000000001</v>
      </c>
      <c r="AC32" s="16">
        <v>9.5020000000000007</v>
      </c>
      <c r="AD32" s="34">
        <v>4.7</v>
      </c>
      <c r="AE32" s="24">
        <v>-8.75</v>
      </c>
      <c r="AF32" s="6">
        <v>9.6300000000000008</v>
      </c>
      <c r="AG32" s="25">
        <v>4.58</v>
      </c>
      <c r="AH32" s="33">
        <v>0</v>
      </c>
      <c r="AI32" s="16">
        <v>10.17</v>
      </c>
      <c r="AJ32" s="34">
        <v>4.0369999999999999</v>
      </c>
      <c r="AK32" s="24">
        <v>-1.877</v>
      </c>
      <c r="AL32" s="6">
        <v>-9.7279999999999998</v>
      </c>
      <c r="AM32" s="25">
        <v>3.7</v>
      </c>
      <c r="AN32" s="33">
        <v>5.19</v>
      </c>
      <c r="AO32" s="16">
        <v>-7.6449999999999996</v>
      </c>
      <c r="AP32" s="34">
        <v>3.262</v>
      </c>
      <c r="AQ32" s="24"/>
      <c r="AR32" s="6"/>
      <c r="AS32" s="25"/>
      <c r="AT32" s="18">
        <v>11.09</v>
      </c>
      <c r="AU32" s="16">
        <f t="shared" si="12"/>
        <v>-179.64500000000001</v>
      </c>
      <c r="AV32" s="16">
        <f t="shared" si="13"/>
        <v>-21</v>
      </c>
      <c r="AW32" s="6">
        <f t="shared" si="14"/>
        <v>38.064999999999998</v>
      </c>
      <c r="AX32" s="29">
        <f t="shared" si="15"/>
        <v>-21</v>
      </c>
      <c r="AY32" s="44">
        <f t="shared" si="16"/>
        <v>1306.26</v>
      </c>
      <c r="AZ32" s="45">
        <f t="shared" si="17"/>
        <v>1694</v>
      </c>
      <c r="BA32" s="45">
        <f t="shared" si="18"/>
        <v>1140</v>
      </c>
      <c r="BB32" s="45">
        <f t="shared" si="19"/>
        <v>-336</v>
      </c>
      <c r="BC32" s="45">
        <f t="shared" si="20"/>
        <v>1287</v>
      </c>
      <c r="BD32" s="45">
        <f t="shared" si="21"/>
        <v>814.82990085404344</v>
      </c>
      <c r="BE32" s="46">
        <f t="shared" si="22"/>
        <v>5906.0899008540437</v>
      </c>
    </row>
    <row r="33" spans="1:57" x14ac:dyDescent="0.25">
      <c r="A33">
        <f t="shared" si="11"/>
        <v>31</v>
      </c>
      <c r="B33" s="7" t="s">
        <v>42</v>
      </c>
      <c r="C33" s="30">
        <v>6</v>
      </c>
      <c r="D33" s="35">
        <v>-179.64500000000001</v>
      </c>
      <c r="E33" s="17">
        <v>-18</v>
      </c>
      <c r="F33" s="17">
        <v>38.064999999999998</v>
      </c>
      <c r="G33" s="36">
        <v>-24</v>
      </c>
      <c r="H33" s="37">
        <v>-171.5</v>
      </c>
      <c r="I33" s="7">
        <v>-4</v>
      </c>
      <c r="J33" s="7">
        <v>-50.5</v>
      </c>
      <c r="K33" s="38">
        <v>-18</v>
      </c>
      <c r="L33" s="35">
        <v>-71.5</v>
      </c>
      <c r="M33" s="16">
        <v>-28</v>
      </c>
      <c r="N33" s="16">
        <v>4.5</v>
      </c>
      <c r="O33" s="34">
        <v>-43</v>
      </c>
      <c r="P33" s="24">
        <v>-71.5</v>
      </c>
      <c r="Q33" s="6">
        <v>-24</v>
      </c>
      <c r="R33" s="6">
        <v>12.5</v>
      </c>
      <c r="S33" s="25">
        <v>-28</v>
      </c>
      <c r="T33" s="33">
        <v>-50.5</v>
      </c>
      <c r="U33" s="16">
        <v>17</v>
      </c>
      <c r="V33" s="16">
        <v>-29.5</v>
      </c>
      <c r="W33" s="34">
        <v>5</v>
      </c>
      <c r="X33" s="24">
        <v>-50.5</v>
      </c>
      <c r="Y33" s="6">
        <v>5</v>
      </c>
      <c r="Z33" s="6">
        <v>-5.5</v>
      </c>
      <c r="AA33" s="25">
        <v>-18</v>
      </c>
      <c r="AB33" s="33">
        <v>-18.149000000000001</v>
      </c>
      <c r="AC33" s="16">
        <v>9.5020000000000007</v>
      </c>
      <c r="AD33" s="34">
        <v>4.7</v>
      </c>
      <c r="AE33" s="24">
        <v>-8.75</v>
      </c>
      <c r="AF33" s="6">
        <v>9.6300000000000008</v>
      </c>
      <c r="AG33" s="25">
        <v>4.58</v>
      </c>
      <c r="AH33" s="33">
        <v>0</v>
      </c>
      <c r="AI33" s="16">
        <v>10.17</v>
      </c>
      <c r="AJ33" s="34">
        <v>4.0369999999999999</v>
      </c>
      <c r="AK33" s="24">
        <v>-1.877</v>
      </c>
      <c r="AL33" s="6">
        <v>-9.7279999999999998</v>
      </c>
      <c r="AM33" s="25">
        <v>3.7</v>
      </c>
      <c r="AN33" s="33">
        <v>5.19</v>
      </c>
      <c r="AO33" s="16">
        <v>-7.6449999999999996</v>
      </c>
      <c r="AP33" s="34">
        <v>3.262</v>
      </c>
      <c r="AQ33" s="24"/>
      <c r="AR33" s="6"/>
      <c r="AS33" s="25"/>
      <c r="AT33" s="18">
        <v>11.09</v>
      </c>
      <c r="AU33" s="16">
        <f t="shared" si="12"/>
        <v>-179.64500000000001</v>
      </c>
      <c r="AV33" s="16">
        <f t="shared" si="13"/>
        <v>-21</v>
      </c>
      <c r="AW33" s="6">
        <f t="shared" si="14"/>
        <v>38.064999999999998</v>
      </c>
      <c r="AX33" s="29">
        <f t="shared" si="15"/>
        <v>-21</v>
      </c>
      <c r="AY33" s="44">
        <f t="shared" si="16"/>
        <v>1306.26</v>
      </c>
      <c r="AZ33" s="45">
        <f t="shared" si="17"/>
        <v>1694</v>
      </c>
      <c r="BA33" s="45">
        <f t="shared" si="18"/>
        <v>1140</v>
      </c>
      <c r="BB33" s="45">
        <f t="shared" si="19"/>
        <v>-336</v>
      </c>
      <c r="BC33" s="45">
        <f t="shared" si="20"/>
        <v>1287</v>
      </c>
      <c r="BD33" s="45">
        <f t="shared" si="21"/>
        <v>814.82990085404344</v>
      </c>
      <c r="BE33" s="46">
        <f t="shared" si="22"/>
        <v>5906.0899008540437</v>
      </c>
    </row>
    <row r="34" spans="1:57" x14ac:dyDescent="0.25">
      <c r="A34">
        <f t="shared" si="11"/>
        <v>32</v>
      </c>
      <c r="B34" s="7" t="s">
        <v>43</v>
      </c>
      <c r="C34" s="30">
        <v>6</v>
      </c>
      <c r="D34" s="35">
        <v>-179.64500000000001</v>
      </c>
      <c r="E34" s="17">
        <v>-18</v>
      </c>
      <c r="F34" s="17">
        <v>38.064999999999998</v>
      </c>
      <c r="G34" s="36">
        <v>-24</v>
      </c>
      <c r="H34" s="37">
        <v>-171.5</v>
      </c>
      <c r="I34" s="7">
        <v>-4</v>
      </c>
      <c r="J34" s="7">
        <v>-50.5</v>
      </c>
      <c r="K34" s="38">
        <v>-18</v>
      </c>
      <c r="L34" s="35">
        <v>-71.5</v>
      </c>
      <c r="M34" s="16">
        <v>-28</v>
      </c>
      <c r="N34" s="16">
        <v>4.5</v>
      </c>
      <c r="O34" s="34">
        <v>-43</v>
      </c>
      <c r="P34" s="24">
        <v>-71.5</v>
      </c>
      <c r="Q34" s="6">
        <v>-24</v>
      </c>
      <c r="R34" s="6">
        <v>12.5</v>
      </c>
      <c r="S34" s="25">
        <v>-28</v>
      </c>
      <c r="T34" s="33">
        <v>-50.5</v>
      </c>
      <c r="U34" s="16">
        <v>17</v>
      </c>
      <c r="V34" s="16">
        <v>-29.5</v>
      </c>
      <c r="W34" s="34">
        <v>5</v>
      </c>
      <c r="X34" s="24">
        <v>-50.5</v>
      </c>
      <c r="Y34" s="6">
        <v>5</v>
      </c>
      <c r="Z34" s="6">
        <v>-5.5</v>
      </c>
      <c r="AA34" s="25">
        <v>-18</v>
      </c>
      <c r="AB34" s="33">
        <v>-18.149000000000001</v>
      </c>
      <c r="AC34" s="16">
        <v>9.5020000000000007</v>
      </c>
      <c r="AD34" s="34">
        <v>4.7</v>
      </c>
      <c r="AE34" s="24">
        <v>-8.75</v>
      </c>
      <c r="AF34" s="6">
        <v>9.6300000000000008</v>
      </c>
      <c r="AG34" s="25">
        <v>4.58</v>
      </c>
      <c r="AH34" s="33">
        <v>0</v>
      </c>
      <c r="AI34" s="16">
        <v>10.17</v>
      </c>
      <c r="AJ34" s="34">
        <v>4.0369999999999999</v>
      </c>
      <c r="AK34" s="24">
        <v>-1.877</v>
      </c>
      <c r="AL34" s="6">
        <v>-9.7279999999999998</v>
      </c>
      <c r="AM34" s="25">
        <v>3.7</v>
      </c>
      <c r="AN34" s="33">
        <v>5.19</v>
      </c>
      <c r="AO34" s="16">
        <v>-7.6449999999999996</v>
      </c>
      <c r="AP34" s="34">
        <v>3.262</v>
      </c>
      <c r="AQ34" s="24"/>
      <c r="AR34" s="6"/>
      <c r="AS34" s="25"/>
      <c r="AT34" s="18">
        <v>11.09</v>
      </c>
      <c r="AU34" s="16">
        <f t="shared" si="12"/>
        <v>-179.64500000000001</v>
      </c>
      <c r="AV34" s="16">
        <f t="shared" si="13"/>
        <v>-21</v>
      </c>
      <c r="AW34" s="6">
        <f t="shared" si="14"/>
        <v>38.064999999999998</v>
      </c>
      <c r="AX34" s="29">
        <f t="shared" si="15"/>
        <v>-21</v>
      </c>
      <c r="AY34" s="44">
        <f t="shared" si="16"/>
        <v>1306.26</v>
      </c>
      <c r="AZ34" s="45">
        <f t="shared" si="17"/>
        <v>1694</v>
      </c>
      <c r="BA34" s="45">
        <f t="shared" si="18"/>
        <v>1140</v>
      </c>
      <c r="BB34" s="45">
        <f t="shared" si="19"/>
        <v>-336</v>
      </c>
      <c r="BC34" s="45">
        <f t="shared" si="20"/>
        <v>1287</v>
      </c>
      <c r="BD34" s="45">
        <f t="shared" si="21"/>
        <v>814.82990085404344</v>
      </c>
      <c r="BE34" s="46">
        <f t="shared" si="22"/>
        <v>5906.0899008540437</v>
      </c>
    </row>
    <row r="35" spans="1:57" x14ac:dyDescent="0.25">
      <c r="A35">
        <f t="shared" si="11"/>
        <v>33</v>
      </c>
      <c r="B35" s="7" t="s">
        <v>45</v>
      </c>
      <c r="C35" s="30">
        <v>6</v>
      </c>
      <c r="D35" s="35">
        <v>-179.64500000000001</v>
      </c>
      <c r="E35" s="17">
        <v>-18</v>
      </c>
      <c r="F35" s="17">
        <v>38.064999999999998</v>
      </c>
      <c r="G35" s="36">
        <v>-24</v>
      </c>
      <c r="H35" s="37">
        <v>-171.5</v>
      </c>
      <c r="I35" s="7">
        <v>-4</v>
      </c>
      <c r="J35" s="7">
        <v>-50.5</v>
      </c>
      <c r="K35" s="38">
        <v>-18</v>
      </c>
      <c r="L35" s="35">
        <v>-71.5</v>
      </c>
      <c r="M35" s="16">
        <v>-28</v>
      </c>
      <c r="N35" s="16">
        <v>4.5</v>
      </c>
      <c r="O35" s="34">
        <v>-43</v>
      </c>
      <c r="P35" s="24">
        <v>-71.5</v>
      </c>
      <c r="Q35" s="6">
        <v>-24</v>
      </c>
      <c r="R35" s="6">
        <v>12.5</v>
      </c>
      <c r="S35" s="25">
        <v>-28</v>
      </c>
      <c r="T35" s="33">
        <v>-50.5</v>
      </c>
      <c r="U35" s="16">
        <v>17</v>
      </c>
      <c r="V35" s="16">
        <v>-29.5</v>
      </c>
      <c r="W35" s="34">
        <v>5</v>
      </c>
      <c r="X35" s="24">
        <v>-50.5</v>
      </c>
      <c r="Y35" s="6">
        <v>5</v>
      </c>
      <c r="Z35" s="6">
        <v>-5.5</v>
      </c>
      <c r="AA35" s="25">
        <v>-18</v>
      </c>
      <c r="AB35" s="33">
        <v>-18.149000000000001</v>
      </c>
      <c r="AC35" s="16">
        <v>9.5020000000000007</v>
      </c>
      <c r="AD35" s="34">
        <v>4.7</v>
      </c>
      <c r="AE35" s="24">
        <v>-8.75</v>
      </c>
      <c r="AF35" s="6">
        <v>9.6300000000000008</v>
      </c>
      <c r="AG35" s="25">
        <v>4.58</v>
      </c>
      <c r="AH35" s="33">
        <v>0</v>
      </c>
      <c r="AI35" s="16">
        <v>10.17</v>
      </c>
      <c r="AJ35" s="34">
        <v>4.0369999999999999</v>
      </c>
      <c r="AK35" s="24">
        <v>-1.877</v>
      </c>
      <c r="AL35" s="6">
        <v>-9.7279999999999998</v>
      </c>
      <c r="AM35" s="25">
        <v>3.7</v>
      </c>
      <c r="AN35" s="33">
        <v>5.19</v>
      </c>
      <c r="AO35" s="16">
        <v>-7.6449999999999996</v>
      </c>
      <c r="AP35" s="34">
        <v>3.262</v>
      </c>
      <c r="AQ35" s="24"/>
      <c r="AR35" s="6"/>
      <c r="AS35" s="25"/>
      <c r="AT35" s="18">
        <v>11.09</v>
      </c>
      <c r="AU35" s="16">
        <f t="shared" si="12"/>
        <v>-179.64500000000001</v>
      </c>
      <c r="AV35" s="16">
        <f t="shared" si="13"/>
        <v>-21</v>
      </c>
      <c r="AW35" s="6">
        <f t="shared" si="14"/>
        <v>38.064999999999998</v>
      </c>
      <c r="AX35" s="29">
        <f t="shared" si="15"/>
        <v>-21</v>
      </c>
      <c r="AY35" s="44">
        <f t="shared" si="16"/>
        <v>1306.26</v>
      </c>
      <c r="AZ35" s="45">
        <f t="shared" si="17"/>
        <v>1694</v>
      </c>
      <c r="BA35" s="45">
        <f t="shared" si="18"/>
        <v>1140</v>
      </c>
      <c r="BB35" s="45">
        <f t="shared" si="19"/>
        <v>-336</v>
      </c>
      <c r="BC35" s="45">
        <f t="shared" si="20"/>
        <v>1287</v>
      </c>
      <c r="BD35" s="45">
        <f t="shared" si="21"/>
        <v>814.82990085404344</v>
      </c>
      <c r="BE35" s="46">
        <f t="shared" si="22"/>
        <v>5906.0899008540437</v>
      </c>
    </row>
    <row r="36" spans="1:57" x14ac:dyDescent="0.25">
      <c r="A36">
        <f t="shared" si="11"/>
        <v>34</v>
      </c>
      <c r="B36" s="7" t="s">
        <v>46</v>
      </c>
      <c r="C36" s="30">
        <v>6</v>
      </c>
      <c r="D36" s="35">
        <v>-179.64500000000001</v>
      </c>
      <c r="E36" s="17">
        <v>-18</v>
      </c>
      <c r="F36" s="17">
        <v>38.064999999999998</v>
      </c>
      <c r="G36" s="36">
        <v>-24</v>
      </c>
      <c r="H36" s="37">
        <v>-171.5</v>
      </c>
      <c r="I36" s="7">
        <v>-4</v>
      </c>
      <c r="J36" s="7">
        <v>-50.5</v>
      </c>
      <c r="K36" s="38">
        <v>-18</v>
      </c>
      <c r="L36" s="35">
        <v>-71.5</v>
      </c>
      <c r="M36" s="16">
        <v>-28</v>
      </c>
      <c r="N36" s="16">
        <v>4.5</v>
      </c>
      <c r="O36" s="34">
        <v>-43</v>
      </c>
      <c r="P36" s="24">
        <v>-71.5</v>
      </c>
      <c r="Q36" s="6">
        <v>-24</v>
      </c>
      <c r="R36" s="6">
        <v>12.5</v>
      </c>
      <c r="S36" s="25">
        <v>-28</v>
      </c>
      <c r="T36" s="33">
        <v>-50.5</v>
      </c>
      <c r="U36" s="16">
        <v>17</v>
      </c>
      <c r="V36" s="16">
        <v>-29.5</v>
      </c>
      <c r="W36" s="34">
        <v>5</v>
      </c>
      <c r="X36" s="24">
        <v>-50.5</v>
      </c>
      <c r="Y36" s="6">
        <v>5</v>
      </c>
      <c r="Z36" s="6">
        <v>-5.5</v>
      </c>
      <c r="AA36" s="25">
        <v>-18</v>
      </c>
      <c r="AB36" s="33">
        <v>-18.149000000000001</v>
      </c>
      <c r="AC36" s="16">
        <v>9.5020000000000007</v>
      </c>
      <c r="AD36" s="34">
        <v>4.7</v>
      </c>
      <c r="AE36" s="24">
        <v>-8.75</v>
      </c>
      <c r="AF36" s="6">
        <v>9.6300000000000008</v>
      </c>
      <c r="AG36" s="25">
        <v>4.58</v>
      </c>
      <c r="AH36" s="33">
        <v>0</v>
      </c>
      <c r="AI36" s="16">
        <v>10.17</v>
      </c>
      <c r="AJ36" s="34">
        <v>4.0369999999999999</v>
      </c>
      <c r="AK36" s="24">
        <v>-1.877</v>
      </c>
      <c r="AL36" s="6">
        <v>-9.7279999999999998</v>
      </c>
      <c r="AM36" s="25">
        <v>3.7</v>
      </c>
      <c r="AN36" s="33">
        <v>5.19</v>
      </c>
      <c r="AO36" s="16">
        <v>-7.6449999999999996</v>
      </c>
      <c r="AP36" s="34">
        <v>3.262</v>
      </c>
      <c r="AQ36" s="24"/>
      <c r="AR36" s="6"/>
      <c r="AS36" s="25"/>
      <c r="AT36" s="18">
        <v>11.09</v>
      </c>
      <c r="AU36" s="16">
        <f t="shared" ref="AU36:AU47" si="23">+D36</f>
        <v>-179.64500000000001</v>
      </c>
      <c r="AV36" s="16">
        <f t="shared" ref="AV36:AV47" si="24">-C36/2+E36</f>
        <v>-21</v>
      </c>
      <c r="AW36" s="6">
        <f t="shared" ref="AW36:AW47" si="25">+F36</f>
        <v>38.064999999999998</v>
      </c>
      <c r="AX36" s="29">
        <f t="shared" ref="AX36:AX47" si="26">-C36/2+E36</f>
        <v>-21</v>
      </c>
      <c r="AY36" s="44">
        <f t="shared" si="16"/>
        <v>1306.26</v>
      </c>
      <c r="AZ36" s="45">
        <f t="shared" si="17"/>
        <v>1694</v>
      </c>
      <c r="BA36" s="45">
        <f t="shared" si="18"/>
        <v>1140</v>
      </c>
      <c r="BB36" s="45">
        <f t="shared" si="19"/>
        <v>-336</v>
      </c>
      <c r="BC36" s="45">
        <f t="shared" si="20"/>
        <v>1287</v>
      </c>
      <c r="BD36" s="45">
        <f t="shared" si="21"/>
        <v>814.82990085404344</v>
      </c>
      <c r="BE36" s="46">
        <f t="shared" si="22"/>
        <v>5906.0899008540437</v>
      </c>
    </row>
    <row r="37" spans="1:57" x14ac:dyDescent="0.25">
      <c r="A37">
        <f t="shared" si="11"/>
        <v>35</v>
      </c>
      <c r="B37" s="7" t="s">
        <v>47</v>
      </c>
      <c r="C37" s="30">
        <v>6</v>
      </c>
      <c r="D37" s="35">
        <v>-179.64500000000001</v>
      </c>
      <c r="E37" s="17">
        <v>-18</v>
      </c>
      <c r="F37" s="17">
        <v>38.064999999999998</v>
      </c>
      <c r="G37" s="36">
        <v>-24</v>
      </c>
      <c r="H37" s="37">
        <v>-171.5</v>
      </c>
      <c r="I37" s="7">
        <v>-4</v>
      </c>
      <c r="J37" s="7">
        <v>-50.5</v>
      </c>
      <c r="K37" s="38">
        <v>-18</v>
      </c>
      <c r="L37" s="35">
        <v>-71.5</v>
      </c>
      <c r="M37" s="16">
        <v>-28</v>
      </c>
      <c r="N37" s="16">
        <v>4.5</v>
      </c>
      <c r="O37" s="34">
        <v>-43</v>
      </c>
      <c r="P37" s="24">
        <v>-71.5</v>
      </c>
      <c r="Q37" s="6">
        <v>-24</v>
      </c>
      <c r="R37" s="6">
        <v>12.5</v>
      </c>
      <c r="S37" s="25">
        <v>-28</v>
      </c>
      <c r="T37" s="33">
        <v>-50.5</v>
      </c>
      <c r="U37" s="16">
        <v>17</v>
      </c>
      <c r="V37" s="16">
        <v>-29.5</v>
      </c>
      <c r="W37" s="34">
        <v>5</v>
      </c>
      <c r="X37" s="24">
        <v>-50.5</v>
      </c>
      <c r="Y37" s="6">
        <v>5</v>
      </c>
      <c r="Z37" s="6">
        <v>-5.5</v>
      </c>
      <c r="AA37" s="25">
        <v>-18</v>
      </c>
      <c r="AB37" s="33">
        <v>-18.149000000000001</v>
      </c>
      <c r="AC37" s="16">
        <v>9.5020000000000007</v>
      </c>
      <c r="AD37" s="34">
        <v>4.7</v>
      </c>
      <c r="AE37" s="24">
        <v>-8.75</v>
      </c>
      <c r="AF37" s="6">
        <v>9.6300000000000008</v>
      </c>
      <c r="AG37" s="25">
        <v>4.58</v>
      </c>
      <c r="AH37" s="33">
        <v>0</v>
      </c>
      <c r="AI37" s="16">
        <v>10.17</v>
      </c>
      <c r="AJ37" s="34">
        <v>4.0369999999999999</v>
      </c>
      <c r="AK37" s="24">
        <v>-1.877</v>
      </c>
      <c r="AL37" s="6">
        <v>-9.7279999999999998</v>
      </c>
      <c r="AM37" s="25">
        <v>3.7</v>
      </c>
      <c r="AN37" s="33">
        <v>5.19</v>
      </c>
      <c r="AO37" s="16">
        <v>-7.6449999999999996</v>
      </c>
      <c r="AP37" s="34">
        <v>3.262</v>
      </c>
      <c r="AQ37" s="24"/>
      <c r="AR37" s="6"/>
      <c r="AS37" s="25"/>
      <c r="AT37" s="18">
        <v>11.09</v>
      </c>
      <c r="AU37" s="16">
        <f t="shared" si="23"/>
        <v>-179.64500000000001</v>
      </c>
      <c r="AV37" s="16">
        <f t="shared" si="24"/>
        <v>-21</v>
      </c>
      <c r="AW37" s="6">
        <f t="shared" si="25"/>
        <v>38.064999999999998</v>
      </c>
      <c r="AX37" s="29">
        <f t="shared" si="26"/>
        <v>-21</v>
      </c>
      <c r="AY37" s="44">
        <f t="shared" si="16"/>
        <v>1306.26</v>
      </c>
      <c r="AZ37" s="45">
        <f t="shared" si="17"/>
        <v>1694</v>
      </c>
      <c r="BA37" s="45">
        <f t="shared" si="18"/>
        <v>1140</v>
      </c>
      <c r="BB37" s="45">
        <f t="shared" si="19"/>
        <v>-336</v>
      </c>
      <c r="BC37" s="45">
        <f t="shared" si="20"/>
        <v>1287</v>
      </c>
      <c r="BD37" s="45">
        <f t="shared" si="21"/>
        <v>814.82990085404344</v>
      </c>
      <c r="BE37" s="46">
        <f t="shared" si="22"/>
        <v>5906.0899008540437</v>
      </c>
    </row>
    <row r="38" spans="1:57" x14ac:dyDescent="0.25">
      <c r="A38">
        <f t="shared" si="11"/>
        <v>36</v>
      </c>
      <c r="B38" s="7" t="s">
        <v>48</v>
      </c>
      <c r="C38" s="30">
        <v>6</v>
      </c>
      <c r="D38" s="35">
        <v>-179.64500000000001</v>
      </c>
      <c r="E38" s="17">
        <v>-18</v>
      </c>
      <c r="F38" s="17">
        <v>38.064999999999998</v>
      </c>
      <c r="G38" s="36">
        <v>-24</v>
      </c>
      <c r="H38" s="37">
        <v>-171.5</v>
      </c>
      <c r="I38" s="7">
        <v>-4</v>
      </c>
      <c r="J38" s="7">
        <v>-50.5</v>
      </c>
      <c r="K38" s="38">
        <v>-18</v>
      </c>
      <c r="L38" s="35">
        <v>-71.5</v>
      </c>
      <c r="M38" s="16">
        <v>-28</v>
      </c>
      <c r="N38" s="16">
        <v>4.5</v>
      </c>
      <c r="O38" s="34">
        <v>-43</v>
      </c>
      <c r="P38" s="24">
        <v>-71.5</v>
      </c>
      <c r="Q38" s="6">
        <v>-24</v>
      </c>
      <c r="R38" s="6">
        <v>12.5</v>
      </c>
      <c r="S38" s="25">
        <v>-28</v>
      </c>
      <c r="T38" s="33">
        <v>-50.5</v>
      </c>
      <c r="U38" s="16">
        <v>17</v>
      </c>
      <c r="V38" s="16">
        <v>-29.5</v>
      </c>
      <c r="W38" s="34">
        <v>5</v>
      </c>
      <c r="X38" s="24">
        <v>-50.5</v>
      </c>
      <c r="Y38" s="6">
        <v>5</v>
      </c>
      <c r="Z38" s="6">
        <v>-5.5</v>
      </c>
      <c r="AA38" s="25">
        <v>-18</v>
      </c>
      <c r="AB38" s="33">
        <v>-18.149000000000001</v>
      </c>
      <c r="AC38" s="16">
        <v>9.5020000000000007</v>
      </c>
      <c r="AD38" s="34">
        <v>4.7</v>
      </c>
      <c r="AE38" s="24">
        <v>-8.75</v>
      </c>
      <c r="AF38" s="6">
        <v>9.6300000000000008</v>
      </c>
      <c r="AG38" s="25">
        <v>4.58</v>
      </c>
      <c r="AH38" s="33">
        <v>0</v>
      </c>
      <c r="AI38" s="16">
        <v>10.17</v>
      </c>
      <c r="AJ38" s="34">
        <v>4.0369999999999999</v>
      </c>
      <c r="AK38" s="24">
        <v>-1.877</v>
      </c>
      <c r="AL38" s="6">
        <v>-9.7279999999999998</v>
      </c>
      <c r="AM38" s="25">
        <v>3.7</v>
      </c>
      <c r="AN38" s="33">
        <v>5.19</v>
      </c>
      <c r="AO38" s="16">
        <v>-7.6449999999999996</v>
      </c>
      <c r="AP38" s="34">
        <v>3.262</v>
      </c>
      <c r="AQ38" s="24"/>
      <c r="AR38" s="6"/>
      <c r="AS38" s="25"/>
      <c r="AT38" s="18">
        <v>11.09</v>
      </c>
      <c r="AU38" s="16">
        <f t="shared" si="23"/>
        <v>-179.64500000000001</v>
      </c>
      <c r="AV38" s="16">
        <f t="shared" si="24"/>
        <v>-21</v>
      </c>
      <c r="AW38" s="6">
        <f t="shared" si="25"/>
        <v>38.064999999999998</v>
      </c>
      <c r="AX38" s="29">
        <f t="shared" si="26"/>
        <v>-21</v>
      </c>
      <c r="AY38" s="44">
        <f t="shared" si="16"/>
        <v>1306.26</v>
      </c>
      <c r="AZ38" s="45">
        <f t="shared" si="17"/>
        <v>1694</v>
      </c>
      <c r="BA38" s="45">
        <f t="shared" si="18"/>
        <v>1140</v>
      </c>
      <c r="BB38" s="45">
        <f t="shared" si="19"/>
        <v>-336</v>
      </c>
      <c r="BC38" s="45">
        <f t="shared" si="20"/>
        <v>1287</v>
      </c>
      <c r="BD38" s="45">
        <f t="shared" si="21"/>
        <v>814.82990085404344</v>
      </c>
      <c r="BE38" s="46">
        <f t="shared" si="22"/>
        <v>5906.0899008540437</v>
      </c>
    </row>
    <row r="39" spans="1:57" x14ac:dyDescent="0.25">
      <c r="A39">
        <f t="shared" si="11"/>
        <v>37</v>
      </c>
      <c r="B39" s="7" t="s">
        <v>50</v>
      </c>
      <c r="C39" s="30">
        <v>6</v>
      </c>
      <c r="D39" s="35">
        <v>-179.64500000000001</v>
      </c>
      <c r="E39" s="17">
        <v>-18</v>
      </c>
      <c r="F39" s="17">
        <v>38.064999999999998</v>
      </c>
      <c r="G39" s="36">
        <v>-24</v>
      </c>
      <c r="H39" s="37">
        <v>-171.5</v>
      </c>
      <c r="I39" s="7">
        <v>-4</v>
      </c>
      <c r="J39" s="7">
        <v>-50.5</v>
      </c>
      <c r="K39" s="38">
        <v>-18</v>
      </c>
      <c r="L39" s="35">
        <v>-71.5</v>
      </c>
      <c r="M39" s="16">
        <v>-28</v>
      </c>
      <c r="N39" s="16">
        <v>4.5</v>
      </c>
      <c r="O39" s="34">
        <v>-43</v>
      </c>
      <c r="P39" s="24">
        <v>-71.5</v>
      </c>
      <c r="Q39" s="6">
        <v>-24</v>
      </c>
      <c r="R39" s="6">
        <v>12.5</v>
      </c>
      <c r="S39" s="25">
        <v>-28</v>
      </c>
      <c r="T39" s="33">
        <v>-50.5</v>
      </c>
      <c r="U39" s="16">
        <v>17</v>
      </c>
      <c r="V39" s="16">
        <v>-29.5</v>
      </c>
      <c r="W39" s="34">
        <v>5</v>
      </c>
      <c r="X39" s="24">
        <v>-50.5</v>
      </c>
      <c r="Y39" s="6">
        <v>5</v>
      </c>
      <c r="Z39" s="6">
        <v>-5.5</v>
      </c>
      <c r="AA39" s="25">
        <v>-18</v>
      </c>
      <c r="AB39" s="33">
        <v>-18.149000000000001</v>
      </c>
      <c r="AC39" s="16">
        <v>9.5020000000000007</v>
      </c>
      <c r="AD39" s="34">
        <v>4.7</v>
      </c>
      <c r="AE39" s="24">
        <v>-8.75</v>
      </c>
      <c r="AF39" s="6">
        <v>9.6300000000000008</v>
      </c>
      <c r="AG39" s="25">
        <v>4.58</v>
      </c>
      <c r="AH39" s="33">
        <v>0</v>
      </c>
      <c r="AI39" s="16">
        <v>10.17</v>
      </c>
      <c r="AJ39" s="34">
        <v>4.0369999999999999</v>
      </c>
      <c r="AK39" s="24">
        <v>-1.877</v>
      </c>
      <c r="AL39" s="6">
        <v>-9.7279999999999998</v>
      </c>
      <c r="AM39" s="25">
        <v>3.7</v>
      </c>
      <c r="AN39" s="33">
        <v>5.19</v>
      </c>
      <c r="AO39" s="16">
        <v>-7.6449999999999996</v>
      </c>
      <c r="AP39" s="34">
        <v>3.262</v>
      </c>
      <c r="AQ39" s="24"/>
      <c r="AR39" s="6"/>
      <c r="AS39" s="25"/>
      <c r="AT39" s="18">
        <v>11.09</v>
      </c>
      <c r="AU39" s="16">
        <f t="shared" si="23"/>
        <v>-179.64500000000001</v>
      </c>
      <c r="AV39" s="16">
        <f t="shared" si="24"/>
        <v>-21</v>
      </c>
      <c r="AW39" s="6">
        <f t="shared" si="25"/>
        <v>38.064999999999998</v>
      </c>
      <c r="AX39" s="29">
        <f t="shared" si="26"/>
        <v>-21</v>
      </c>
      <c r="AY39" s="44">
        <f t="shared" si="16"/>
        <v>1306.26</v>
      </c>
      <c r="AZ39" s="45">
        <f t="shared" si="17"/>
        <v>1694</v>
      </c>
      <c r="BA39" s="45">
        <f t="shared" si="18"/>
        <v>1140</v>
      </c>
      <c r="BB39" s="45">
        <f t="shared" si="19"/>
        <v>-336</v>
      </c>
      <c r="BC39" s="45">
        <f t="shared" si="20"/>
        <v>1287</v>
      </c>
      <c r="BD39" s="45">
        <f t="shared" si="21"/>
        <v>814.82990085404344</v>
      </c>
      <c r="BE39" s="46">
        <f t="shared" si="22"/>
        <v>5906.0899008540437</v>
      </c>
    </row>
    <row r="40" spans="1:57" x14ac:dyDescent="0.25">
      <c r="A40">
        <f t="shared" si="11"/>
        <v>38</v>
      </c>
      <c r="B40" s="7" t="s">
        <v>51</v>
      </c>
      <c r="C40" s="30">
        <v>6</v>
      </c>
      <c r="D40" s="35">
        <v>-179.64500000000001</v>
      </c>
      <c r="E40" s="17">
        <v>-18</v>
      </c>
      <c r="F40" s="17">
        <v>38.064999999999998</v>
      </c>
      <c r="G40" s="36">
        <v>-24</v>
      </c>
      <c r="H40" s="37">
        <v>-171.5</v>
      </c>
      <c r="I40" s="7">
        <v>-4</v>
      </c>
      <c r="J40" s="7">
        <v>-50.5</v>
      </c>
      <c r="K40" s="38">
        <v>-18</v>
      </c>
      <c r="L40" s="35">
        <v>-71.5</v>
      </c>
      <c r="M40" s="16">
        <v>-28</v>
      </c>
      <c r="N40" s="16">
        <v>4.5</v>
      </c>
      <c r="O40" s="34">
        <v>-43</v>
      </c>
      <c r="P40" s="24">
        <v>-71.5</v>
      </c>
      <c r="Q40" s="6">
        <v>-24</v>
      </c>
      <c r="R40" s="6">
        <v>12.5</v>
      </c>
      <c r="S40" s="25">
        <v>-28</v>
      </c>
      <c r="T40" s="33">
        <v>-50.5</v>
      </c>
      <c r="U40" s="16">
        <v>17</v>
      </c>
      <c r="V40" s="16">
        <v>-29.5</v>
      </c>
      <c r="W40" s="34">
        <v>5</v>
      </c>
      <c r="X40" s="24">
        <v>-50.5</v>
      </c>
      <c r="Y40" s="6">
        <v>5</v>
      </c>
      <c r="Z40" s="6">
        <v>-5.5</v>
      </c>
      <c r="AA40" s="25">
        <v>-18</v>
      </c>
      <c r="AB40" s="33">
        <v>-18.149000000000001</v>
      </c>
      <c r="AC40" s="16">
        <v>9.5020000000000007</v>
      </c>
      <c r="AD40" s="34">
        <v>4.7</v>
      </c>
      <c r="AE40" s="24">
        <v>-8.75</v>
      </c>
      <c r="AF40" s="6">
        <v>9.6300000000000008</v>
      </c>
      <c r="AG40" s="25">
        <v>4.58</v>
      </c>
      <c r="AH40" s="33">
        <v>0</v>
      </c>
      <c r="AI40" s="16">
        <v>10.17</v>
      </c>
      <c r="AJ40" s="34">
        <v>4.0369999999999999</v>
      </c>
      <c r="AK40" s="24">
        <v>-1.877</v>
      </c>
      <c r="AL40" s="6">
        <v>-9.7279999999999998</v>
      </c>
      <c r="AM40" s="25">
        <v>3.7</v>
      </c>
      <c r="AN40" s="33">
        <v>5.19</v>
      </c>
      <c r="AO40" s="16">
        <v>-7.6449999999999996</v>
      </c>
      <c r="AP40" s="34">
        <v>3.262</v>
      </c>
      <c r="AQ40" s="24"/>
      <c r="AR40" s="6"/>
      <c r="AS40" s="25"/>
      <c r="AT40" s="18">
        <v>11.09</v>
      </c>
      <c r="AU40" s="16">
        <f t="shared" si="23"/>
        <v>-179.64500000000001</v>
      </c>
      <c r="AV40" s="16">
        <f t="shared" si="24"/>
        <v>-21</v>
      </c>
      <c r="AW40" s="6">
        <f t="shared" si="25"/>
        <v>38.064999999999998</v>
      </c>
      <c r="AX40" s="29">
        <f t="shared" si="26"/>
        <v>-21</v>
      </c>
      <c r="AY40" s="44">
        <f t="shared" si="16"/>
        <v>1306.26</v>
      </c>
      <c r="AZ40" s="45">
        <f t="shared" si="17"/>
        <v>1694</v>
      </c>
      <c r="BA40" s="45">
        <f t="shared" si="18"/>
        <v>1140</v>
      </c>
      <c r="BB40" s="45">
        <f t="shared" si="19"/>
        <v>-336</v>
      </c>
      <c r="BC40" s="45">
        <f t="shared" si="20"/>
        <v>1287</v>
      </c>
      <c r="BD40" s="45">
        <f t="shared" si="21"/>
        <v>814.82990085404344</v>
      </c>
      <c r="BE40" s="46">
        <f t="shared" si="22"/>
        <v>5906.0899008540437</v>
      </c>
    </row>
    <row r="41" spans="1:57" x14ac:dyDescent="0.25">
      <c r="A41">
        <f t="shared" si="11"/>
        <v>39</v>
      </c>
      <c r="B41" s="7" t="s">
        <v>52</v>
      </c>
      <c r="C41" s="30">
        <v>6</v>
      </c>
      <c r="D41" s="35">
        <v>-179.64500000000001</v>
      </c>
      <c r="E41" s="17">
        <v>-18</v>
      </c>
      <c r="F41" s="17">
        <v>38.064999999999998</v>
      </c>
      <c r="G41" s="36">
        <v>-24</v>
      </c>
      <c r="H41" s="37">
        <v>-171.5</v>
      </c>
      <c r="I41" s="7">
        <v>-4</v>
      </c>
      <c r="J41" s="7">
        <v>-50.5</v>
      </c>
      <c r="K41" s="38">
        <v>-18</v>
      </c>
      <c r="L41" s="35">
        <v>-71.5</v>
      </c>
      <c r="M41" s="16">
        <v>-28</v>
      </c>
      <c r="N41" s="16">
        <v>4.5</v>
      </c>
      <c r="O41" s="34">
        <v>-43</v>
      </c>
      <c r="P41" s="24">
        <v>-71.5</v>
      </c>
      <c r="Q41" s="6">
        <v>-24</v>
      </c>
      <c r="R41" s="6">
        <v>12.5</v>
      </c>
      <c r="S41" s="25">
        <v>-28</v>
      </c>
      <c r="T41" s="33">
        <v>-50.5</v>
      </c>
      <c r="U41" s="16">
        <v>17</v>
      </c>
      <c r="V41" s="16">
        <v>-29.5</v>
      </c>
      <c r="W41" s="34">
        <v>5</v>
      </c>
      <c r="X41" s="24">
        <v>-50.5</v>
      </c>
      <c r="Y41" s="6">
        <v>5</v>
      </c>
      <c r="Z41" s="6">
        <v>-5.5</v>
      </c>
      <c r="AA41" s="25">
        <v>-18</v>
      </c>
      <c r="AB41" s="33">
        <v>-18.149000000000001</v>
      </c>
      <c r="AC41" s="16">
        <v>9.5020000000000007</v>
      </c>
      <c r="AD41" s="34">
        <v>4.7</v>
      </c>
      <c r="AE41" s="24">
        <v>-8.75</v>
      </c>
      <c r="AF41" s="6">
        <v>9.6300000000000008</v>
      </c>
      <c r="AG41" s="25">
        <v>4.58</v>
      </c>
      <c r="AH41" s="33">
        <v>0</v>
      </c>
      <c r="AI41" s="16">
        <v>10.17</v>
      </c>
      <c r="AJ41" s="34">
        <v>4.0369999999999999</v>
      </c>
      <c r="AK41" s="24">
        <v>-1.877</v>
      </c>
      <c r="AL41" s="6">
        <v>-9.7279999999999998</v>
      </c>
      <c r="AM41" s="25">
        <v>3.7</v>
      </c>
      <c r="AN41" s="33">
        <v>5.19</v>
      </c>
      <c r="AO41" s="16">
        <v>-7.6449999999999996</v>
      </c>
      <c r="AP41" s="34">
        <v>3.262</v>
      </c>
      <c r="AQ41" s="24"/>
      <c r="AR41" s="6"/>
      <c r="AS41" s="25"/>
      <c r="AT41" s="18">
        <v>11.09</v>
      </c>
      <c r="AU41" s="16">
        <f t="shared" si="23"/>
        <v>-179.64500000000001</v>
      </c>
      <c r="AV41" s="16">
        <f t="shared" si="24"/>
        <v>-21</v>
      </c>
      <c r="AW41" s="6">
        <f t="shared" si="25"/>
        <v>38.064999999999998</v>
      </c>
      <c r="AX41" s="29">
        <f t="shared" si="26"/>
        <v>-21</v>
      </c>
      <c r="AY41" s="44">
        <f t="shared" si="16"/>
        <v>1306.26</v>
      </c>
      <c r="AZ41" s="45">
        <f t="shared" si="17"/>
        <v>1694</v>
      </c>
      <c r="BA41" s="45">
        <f t="shared" si="18"/>
        <v>1140</v>
      </c>
      <c r="BB41" s="45">
        <f t="shared" si="19"/>
        <v>-336</v>
      </c>
      <c r="BC41" s="45">
        <f t="shared" si="20"/>
        <v>1287</v>
      </c>
      <c r="BD41" s="45">
        <f t="shared" si="21"/>
        <v>814.82990085404344</v>
      </c>
      <c r="BE41" s="46">
        <f t="shared" si="22"/>
        <v>5906.0899008540437</v>
      </c>
    </row>
    <row r="42" spans="1:57" x14ac:dyDescent="0.25">
      <c r="A42">
        <f t="shared" si="11"/>
        <v>40</v>
      </c>
      <c r="B42" s="7" t="s">
        <v>57</v>
      </c>
      <c r="C42" s="30">
        <v>6</v>
      </c>
      <c r="D42" s="35">
        <v>-179.64500000000001</v>
      </c>
      <c r="E42" s="17">
        <v>-18</v>
      </c>
      <c r="F42" s="17">
        <v>38.064999999999998</v>
      </c>
      <c r="G42" s="36">
        <v>-24</v>
      </c>
      <c r="H42" s="37">
        <v>-171.5</v>
      </c>
      <c r="I42" s="7">
        <v>-4</v>
      </c>
      <c r="J42" s="7">
        <v>-50.5</v>
      </c>
      <c r="K42" s="38">
        <v>-18</v>
      </c>
      <c r="L42" s="35">
        <v>-71.5</v>
      </c>
      <c r="M42" s="16">
        <v>-28</v>
      </c>
      <c r="N42" s="16">
        <v>4.5</v>
      </c>
      <c r="O42" s="34">
        <v>-43</v>
      </c>
      <c r="P42" s="24">
        <v>-71.5</v>
      </c>
      <c r="Q42" s="6">
        <v>-24</v>
      </c>
      <c r="R42" s="6">
        <v>12.5</v>
      </c>
      <c r="S42" s="25">
        <v>-28</v>
      </c>
      <c r="T42" s="33">
        <v>-50.5</v>
      </c>
      <c r="U42" s="16">
        <v>17</v>
      </c>
      <c r="V42" s="16">
        <v>-29.5</v>
      </c>
      <c r="W42" s="34">
        <v>5</v>
      </c>
      <c r="X42" s="24">
        <v>-50.5</v>
      </c>
      <c r="Y42" s="6">
        <v>5</v>
      </c>
      <c r="Z42" s="6">
        <v>-5.5</v>
      </c>
      <c r="AA42" s="25">
        <v>-18</v>
      </c>
      <c r="AB42" s="33">
        <v>-18.149000000000001</v>
      </c>
      <c r="AC42" s="16">
        <v>9.5020000000000007</v>
      </c>
      <c r="AD42" s="34">
        <v>4.7</v>
      </c>
      <c r="AE42" s="24">
        <v>-8.75</v>
      </c>
      <c r="AF42" s="6">
        <v>9.6300000000000008</v>
      </c>
      <c r="AG42" s="25">
        <v>4.58</v>
      </c>
      <c r="AH42" s="33">
        <v>0</v>
      </c>
      <c r="AI42" s="16">
        <v>10.17</v>
      </c>
      <c r="AJ42" s="34">
        <v>4.0369999999999999</v>
      </c>
      <c r="AK42" s="24">
        <v>-1.877</v>
      </c>
      <c r="AL42" s="6">
        <v>-9.7279999999999998</v>
      </c>
      <c r="AM42" s="25">
        <v>3.7</v>
      </c>
      <c r="AN42" s="33">
        <v>5.19</v>
      </c>
      <c r="AO42" s="16">
        <v>-7.6449999999999996</v>
      </c>
      <c r="AP42" s="34">
        <v>3.262</v>
      </c>
      <c r="AQ42" s="24"/>
      <c r="AR42" s="6"/>
      <c r="AS42" s="25"/>
      <c r="AT42" s="18">
        <v>11.09</v>
      </c>
      <c r="AU42" s="16">
        <f t="shared" si="23"/>
        <v>-179.64500000000001</v>
      </c>
      <c r="AV42" s="16">
        <f t="shared" si="24"/>
        <v>-21</v>
      </c>
      <c r="AW42" s="6">
        <f t="shared" si="25"/>
        <v>38.064999999999998</v>
      </c>
      <c r="AX42" s="29">
        <f t="shared" si="26"/>
        <v>-21</v>
      </c>
      <c r="AY42" s="44">
        <f t="shared" si="16"/>
        <v>1306.26</v>
      </c>
      <c r="AZ42" s="45">
        <f t="shared" si="17"/>
        <v>1694</v>
      </c>
      <c r="BA42" s="45">
        <f t="shared" si="18"/>
        <v>1140</v>
      </c>
      <c r="BB42" s="45">
        <f t="shared" si="19"/>
        <v>-336</v>
      </c>
      <c r="BC42" s="45">
        <f t="shared" si="20"/>
        <v>1287</v>
      </c>
      <c r="BD42" s="45">
        <f t="shared" si="21"/>
        <v>814.82990085404344</v>
      </c>
      <c r="BE42" s="46">
        <f t="shared" si="22"/>
        <v>5906.0899008540437</v>
      </c>
    </row>
    <row r="43" spans="1:57" x14ac:dyDescent="0.25">
      <c r="A43">
        <f t="shared" si="11"/>
        <v>41</v>
      </c>
      <c r="B43" s="7" t="s">
        <v>58</v>
      </c>
      <c r="C43" s="30">
        <v>6</v>
      </c>
      <c r="D43" s="35">
        <v>-179.64500000000001</v>
      </c>
      <c r="E43" s="17">
        <v>-18</v>
      </c>
      <c r="F43" s="17">
        <v>38.064999999999998</v>
      </c>
      <c r="G43" s="36">
        <v>-24</v>
      </c>
      <c r="H43" s="37">
        <v>-171.5</v>
      </c>
      <c r="I43" s="7">
        <v>-4</v>
      </c>
      <c r="J43" s="7">
        <v>-50.5</v>
      </c>
      <c r="K43" s="38">
        <v>-18</v>
      </c>
      <c r="L43" s="35">
        <v>-71.5</v>
      </c>
      <c r="M43" s="16">
        <v>-28</v>
      </c>
      <c r="N43" s="16">
        <v>4.5</v>
      </c>
      <c r="O43" s="34">
        <v>-43</v>
      </c>
      <c r="P43" s="24">
        <v>-71.5</v>
      </c>
      <c r="Q43" s="6">
        <v>-24</v>
      </c>
      <c r="R43" s="6">
        <v>12.5</v>
      </c>
      <c r="S43" s="25">
        <v>-28</v>
      </c>
      <c r="T43" s="33">
        <v>-50.5</v>
      </c>
      <c r="U43" s="16">
        <v>17</v>
      </c>
      <c r="V43" s="16">
        <v>-29.5</v>
      </c>
      <c r="W43" s="34">
        <v>5</v>
      </c>
      <c r="X43" s="24">
        <v>-50.5</v>
      </c>
      <c r="Y43" s="6">
        <v>5</v>
      </c>
      <c r="Z43" s="6">
        <v>-5.5</v>
      </c>
      <c r="AA43" s="25">
        <v>-18</v>
      </c>
      <c r="AB43" s="33">
        <v>-18.149000000000001</v>
      </c>
      <c r="AC43" s="16">
        <v>9.5020000000000007</v>
      </c>
      <c r="AD43" s="34">
        <v>4.7</v>
      </c>
      <c r="AE43" s="24">
        <v>-8.75</v>
      </c>
      <c r="AF43" s="6">
        <v>9.6300000000000008</v>
      </c>
      <c r="AG43" s="25">
        <v>4.58</v>
      </c>
      <c r="AH43" s="33">
        <v>0</v>
      </c>
      <c r="AI43" s="16">
        <v>10.17</v>
      </c>
      <c r="AJ43" s="34">
        <v>4.0369999999999999</v>
      </c>
      <c r="AK43" s="24">
        <v>-1.877</v>
      </c>
      <c r="AL43" s="6">
        <v>-9.7279999999999998</v>
      </c>
      <c r="AM43" s="25">
        <v>3.7</v>
      </c>
      <c r="AN43" s="33">
        <v>5.19</v>
      </c>
      <c r="AO43" s="16">
        <v>-7.6449999999999996</v>
      </c>
      <c r="AP43" s="34">
        <v>3.262</v>
      </c>
      <c r="AQ43" s="24"/>
      <c r="AR43" s="6"/>
      <c r="AS43" s="25"/>
      <c r="AT43" s="18">
        <v>11.09</v>
      </c>
      <c r="AU43" s="16">
        <f t="shared" si="23"/>
        <v>-179.64500000000001</v>
      </c>
      <c r="AV43" s="16">
        <f t="shared" si="24"/>
        <v>-21</v>
      </c>
      <c r="AW43" s="6">
        <f t="shared" si="25"/>
        <v>38.064999999999998</v>
      </c>
      <c r="AX43" s="29">
        <f t="shared" si="26"/>
        <v>-21</v>
      </c>
      <c r="AY43" s="44">
        <f t="shared" si="16"/>
        <v>1306.26</v>
      </c>
      <c r="AZ43" s="45">
        <f t="shared" si="17"/>
        <v>1694</v>
      </c>
      <c r="BA43" s="45">
        <f t="shared" si="18"/>
        <v>1140</v>
      </c>
      <c r="BB43" s="45">
        <f t="shared" si="19"/>
        <v>-336</v>
      </c>
      <c r="BC43" s="45">
        <f t="shared" si="20"/>
        <v>1287</v>
      </c>
      <c r="BD43" s="45">
        <f t="shared" si="21"/>
        <v>814.82990085404344</v>
      </c>
      <c r="BE43" s="46">
        <f t="shared" si="22"/>
        <v>5906.0899008540437</v>
      </c>
    </row>
    <row r="44" spans="1:57" x14ac:dyDescent="0.25">
      <c r="A44">
        <f t="shared" si="11"/>
        <v>42</v>
      </c>
      <c r="B44" s="7" t="s">
        <v>59</v>
      </c>
      <c r="C44" s="30">
        <v>6</v>
      </c>
      <c r="D44" s="35">
        <v>-179.64500000000001</v>
      </c>
      <c r="E44" s="17">
        <v>-18</v>
      </c>
      <c r="F44" s="17">
        <v>38.064999999999998</v>
      </c>
      <c r="G44" s="36">
        <v>-24</v>
      </c>
      <c r="H44" s="37">
        <v>-171.5</v>
      </c>
      <c r="I44" s="7">
        <v>-4</v>
      </c>
      <c r="J44" s="7">
        <v>-50.5</v>
      </c>
      <c r="K44" s="38">
        <v>-18</v>
      </c>
      <c r="L44" s="35">
        <v>-71.5</v>
      </c>
      <c r="M44" s="16">
        <v>-28</v>
      </c>
      <c r="N44" s="16">
        <v>4.5</v>
      </c>
      <c r="O44" s="34">
        <v>-43</v>
      </c>
      <c r="P44" s="24">
        <v>-71.5</v>
      </c>
      <c r="Q44" s="6">
        <v>-24</v>
      </c>
      <c r="R44" s="6">
        <v>12.5</v>
      </c>
      <c r="S44" s="25">
        <v>-28</v>
      </c>
      <c r="T44" s="33">
        <v>-50.5</v>
      </c>
      <c r="U44" s="16">
        <v>17</v>
      </c>
      <c r="V44" s="16">
        <v>-29.5</v>
      </c>
      <c r="W44" s="34">
        <v>5</v>
      </c>
      <c r="X44" s="24">
        <v>-50.5</v>
      </c>
      <c r="Y44" s="6">
        <v>5</v>
      </c>
      <c r="Z44" s="6">
        <v>-5.5</v>
      </c>
      <c r="AA44" s="25">
        <v>-18</v>
      </c>
      <c r="AB44" s="33">
        <v>-18.149000000000001</v>
      </c>
      <c r="AC44" s="16">
        <v>9.5020000000000007</v>
      </c>
      <c r="AD44" s="34">
        <v>4.7</v>
      </c>
      <c r="AE44" s="24">
        <v>-8.75</v>
      </c>
      <c r="AF44" s="6">
        <v>9.6300000000000008</v>
      </c>
      <c r="AG44" s="25">
        <v>4.58</v>
      </c>
      <c r="AH44" s="33">
        <v>0</v>
      </c>
      <c r="AI44" s="16">
        <v>10.17</v>
      </c>
      <c r="AJ44" s="34">
        <v>4.0369999999999999</v>
      </c>
      <c r="AK44" s="24">
        <v>-1.877</v>
      </c>
      <c r="AL44" s="6">
        <v>-9.7279999999999998</v>
      </c>
      <c r="AM44" s="25">
        <v>3.7</v>
      </c>
      <c r="AN44" s="33">
        <v>5.19</v>
      </c>
      <c r="AO44" s="16">
        <v>-7.6449999999999996</v>
      </c>
      <c r="AP44" s="34">
        <v>3.262</v>
      </c>
      <c r="AQ44" s="24"/>
      <c r="AR44" s="6"/>
      <c r="AS44" s="25"/>
      <c r="AT44" s="18">
        <v>11.09</v>
      </c>
      <c r="AU44" s="16">
        <f t="shared" si="23"/>
        <v>-179.64500000000001</v>
      </c>
      <c r="AV44" s="16">
        <f t="shared" si="24"/>
        <v>-21</v>
      </c>
      <c r="AW44" s="6">
        <f t="shared" si="25"/>
        <v>38.064999999999998</v>
      </c>
      <c r="AX44" s="29">
        <f t="shared" si="26"/>
        <v>-21</v>
      </c>
      <c r="AY44" s="44">
        <f t="shared" si="16"/>
        <v>1306.26</v>
      </c>
      <c r="AZ44" s="45">
        <f t="shared" si="17"/>
        <v>1694</v>
      </c>
      <c r="BA44" s="45">
        <f t="shared" si="18"/>
        <v>1140</v>
      </c>
      <c r="BB44" s="45">
        <f t="shared" si="19"/>
        <v>-336</v>
      </c>
      <c r="BC44" s="45">
        <f t="shared" si="20"/>
        <v>1287</v>
      </c>
      <c r="BD44" s="45">
        <f t="shared" si="21"/>
        <v>814.82990085404344</v>
      </c>
      <c r="BE44" s="46">
        <f t="shared" si="22"/>
        <v>5906.0899008540437</v>
      </c>
    </row>
    <row r="45" spans="1:57" x14ac:dyDescent="0.25">
      <c r="A45">
        <f t="shared" si="11"/>
        <v>43</v>
      </c>
      <c r="B45" s="13" t="s">
        <v>102</v>
      </c>
      <c r="C45" s="54">
        <v>6</v>
      </c>
      <c r="D45" s="55">
        <v>-178.88</v>
      </c>
      <c r="E45" s="13">
        <v>-15</v>
      </c>
      <c r="F45" s="13">
        <v>67.692999999999998</v>
      </c>
      <c r="G45" s="56">
        <v>-21</v>
      </c>
      <c r="H45" s="55">
        <v>-162</v>
      </c>
      <c r="I45" s="13">
        <v>-1</v>
      </c>
      <c r="J45" s="13">
        <v>-57</v>
      </c>
      <c r="K45" s="56">
        <v>-15</v>
      </c>
      <c r="L45" s="55">
        <v>-84</v>
      </c>
      <c r="M45" s="47">
        <v>-28</v>
      </c>
      <c r="N45" s="47">
        <v>-1</v>
      </c>
      <c r="O45" s="51">
        <v>-43</v>
      </c>
      <c r="P45" s="50">
        <v>-67</v>
      </c>
      <c r="Q45" s="47">
        <v>-21</v>
      </c>
      <c r="R45" s="47">
        <v>7</v>
      </c>
      <c r="S45" s="51">
        <v>-28</v>
      </c>
      <c r="T45" s="50">
        <v>-57</v>
      </c>
      <c r="U45" s="47">
        <v>4</v>
      </c>
      <c r="V45" s="47">
        <v>-4</v>
      </c>
      <c r="W45" s="51">
        <v>-15</v>
      </c>
      <c r="X45" s="50">
        <v>-57</v>
      </c>
      <c r="Y45" s="47">
        <v>20.167999999999999</v>
      </c>
      <c r="Z45" s="47">
        <v>-4</v>
      </c>
      <c r="AA45" s="51">
        <v>4</v>
      </c>
      <c r="AB45" s="50"/>
      <c r="AC45" s="47"/>
      <c r="AD45" s="51"/>
      <c r="AE45" s="50"/>
      <c r="AF45" s="47"/>
      <c r="AG45" s="51"/>
      <c r="AH45" s="50"/>
      <c r="AI45" s="47"/>
      <c r="AJ45" s="51"/>
      <c r="AK45" s="50"/>
      <c r="AL45" s="47"/>
      <c r="AM45" s="51"/>
      <c r="AN45" s="50"/>
      <c r="AO45" s="47"/>
      <c r="AP45" s="51"/>
      <c r="AQ45" s="50"/>
      <c r="AR45" s="47"/>
      <c r="AS45" s="51"/>
      <c r="AT45" s="53">
        <f>13.3*2</f>
        <v>26.6</v>
      </c>
      <c r="AU45" s="47">
        <f t="shared" si="23"/>
        <v>-178.88</v>
      </c>
      <c r="AV45" s="47">
        <f t="shared" si="24"/>
        <v>-18</v>
      </c>
      <c r="AW45" s="47">
        <f t="shared" si="25"/>
        <v>67.692999999999998</v>
      </c>
      <c r="AX45" s="52">
        <f t="shared" si="26"/>
        <v>-18</v>
      </c>
      <c r="AY45" s="57">
        <f t="shared" si="16"/>
        <v>1479.4379999999999</v>
      </c>
      <c r="AZ45" s="58">
        <f t="shared" si="17"/>
        <v>1470</v>
      </c>
      <c r="BA45" s="58">
        <f t="shared" si="18"/>
        <v>1245</v>
      </c>
      <c r="BB45" s="58">
        <f t="shared" si="19"/>
        <v>-518</v>
      </c>
      <c r="BC45" s="58">
        <f t="shared" si="20"/>
        <v>1863.904</v>
      </c>
      <c r="BD45" s="58"/>
      <c r="BE45" s="59"/>
    </row>
    <row r="46" spans="1:57" x14ac:dyDescent="0.25">
      <c r="A46">
        <f t="shared" si="11"/>
        <v>44</v>
      </c>
      <c r="B46" s="13" t="s">
        <v>60</v>
      </c>
      <c r="C46" s="54">
        <v>6</v>
      </c>
      <c r="D46" s="55">
        <v>-160.64500000000001</v>
      </c>
      <c r="E46" s="13">
        <v>-15</v>
      </c>
      <c r="F46" s="13">
        <v>38.064999999999998</v>
      </c>
      <c r="G46" s="56">
        <v>-21</v>
      </c>
      <c r="H46" s="55">
        <v>-147.5</v>
      </c>
      <c r="I46" s="13">
        <v>0</v>
      </c>
      <c r="J46" s="13">
        <v>-50.5</v>
      </c>
      <c r="K46" s="56">
        <v>-15</v>
      </c>
      <c r="L46" s="55">
        <v>-71.5</v>
      </c>
      <c r="M46" s="47">
        <v>-25</v>
      </c>
      <c r="N46" s="47">
        <v>4.5</v>
      </c>
      <c r="O46" s="51">
        <v>-40</v>
      </c>
      <c r="P46" s="50">
        <v>-71.5</v>
      </c>
      <c r="Q46" s="47">
        <v>-21</v>
      </c>
      <c r="R46" s="47">
        <v>12.5</v>
      </c>
      <c r="S46" s="51">
        <v>-25</v>
      </c>
      <c r="T46" s="50">
        <v>-50.5</v>
      </c>
      <c r="U46" s="47">
        <v>8</v>
      </c>
      <c r="V46" s="47">
        <v>-5.5449999999999999</v>
      </c>
      <c r="W46" s="51">
        <v>-15</v>
      </c>
      <c r="X46" s="50">
        <v>-50.5</v>
      </c>
      <c r="Y46" s="47">
        <v>20</v>
      </c>
      <c r="Z46" s="47">
        <v>-29.41</v>
      </c>
      <c r="AA46" s="51">
        <v>8</v>
      </c>
      <c r="AB46" s="50">
        <v>-8.75</v>
      </c>
      <c r="AC46" s="47">
        <v>9.6300000000000008</v>
      </c>
      <c r="AD46" s="51">
        <v>4.58</v>
      </c>
      <c r="AE46" s="50">
        <v>0</v>
      </c>
      <c r="AF46" s="47">
        <v>10.172000000000001</v>
      </c>
      <c r="AG46" s="51">
        <v>3.94</v>
      </c>
      <c r="AH46" s="50">
        <v>-1.877</v>
      </c>
      <c r="AI46" s="47">
        <v>-9.7279999999999998</v>
      </c>
      <c r="AJ46" s="51">
        <v>3.7</v>
      </c>
      <c r="AK46" s="50">
        <v>5.19</v>
      </c>
      <c r="AL46" s="47">
        <v>-7.6449999999999996</v>
      </c>
      <c r="AM46" s="51">
        <v>3.262</v>
      </c>
      <c r="AN46" s="50"/>
      <c r="AO46" s="47"/>
      <c r="AP46" s="51"/>
      <c r="AQ46" s="50"/>
      <c r="AR46" s="47"/>
      <c r="AS46" s="51"/>
      <c r="AT46" s="53">
        <v>11.09</v>
      </c>
      <c r="AU46" s="47">
        <f t="shared" si="23"/>
        <v>-160.64500000000001</v>
      </c>
      <c r="AV46" s="47">
        <f t="shared" si="24"/>
        <v>-18</v>
      </c>
      <c r="AW46" s="47">
        <f t="shared" si="25"/>
        <v>38.064999999999998</v>
      </c>
      <c r="AX46" s="52">
        <f t="shared" si="26"/>
        <v>-18</v>
      </c>
      <c r="AY46" s="44">
        <f t="shared" si="16"/>
        <v>1192.26</v>
      </c>
      <c r="AZ46" s="45">
        <f t="shared" si="17"/>
        <v>1455</v>
      </c>
      <c r="BA46" s="45">
        <f t="shared" si="18"/>
        <v>1140</v>
      </c>
      <c r="BB46" s="45">
        <f t="shared" si="19"/>
        <v>-336</v>
      </c>
      <c r="BC46" s="45">
        <f t="shared" si="20"/>
        <v>1287.0449999999998</v>
      </c>
      <c r="BD46" s="45">
        <f t="shared" si="21"/>
        <v>652.57993237464791</v>
      </c>
      <c r="BE46" s="46">
        <f t="shared" si="22"/>
        <v>5390.8849323746481</v>
      </c>
    </row>
    <row r="47" spans="1:57" x14ac:dyDescent="0.25">
      <c r="A47">
        <f t="shared" si="11"/>
        <v>45</v>
      </c>
      <c r="B47" s="60" t="s">
        <v>103</v>
      </c>
      <c r="C47" s="61">
        <v>6</v>
      </c>
      <c r="D47" s="62">
        <v>-166.97800000000001</v>
      </c>
      <c r="E47" s="63">
        <v>-15</v>
      </c>
      <c r="F47" s="63">
        <v>50.692999999999998</v>
      </c>
      <c r="G47" s="64">
        <v>-21</v>
      </c>
      <c r="H47" s="49">
        <v>-160</v>
      </c>
      <c r="I47" s="49">
        <v>-3</v>
      </c>
      <c r="J47" s="49">
        <v>-50</v>
      </c>
      <c r="K47" s="49">
        <v>-15</v>
      </c>
      <c r="L47" s="49">
        <v>-86</v>
      </c>
      <c r="M47" s="49">
        <v>-27</v>
      </c>
      <c r="N47" s="49">
        <v>-3</v>
      </c>
      <c r="O47" s="49">
        <v>-41.987000000000002</v>
      </c>
      <c r="P47" s="49">
        <v>-68</v>
      </c>
      <c r="Q47" s="49">
        <v>-21</v>
      </c>
      <c r="R47" s="49">
        <v>7.0119999999999996</v>
      </c>
      <c r="S47" s="49">
        <v>-26.984999999999999</v>
      </c>
      <c r="T47" s="49">
        <v>-50</v>
      </c>
      <c r="U47" s="49">
        <v>4</v>
      </c>
      <c r="V47" s="49">
        <v>-8</v>
      </c>
      <c r="W47" s="49">
        <v>-15</v>
      </c>
      <c r="X47" s="49">
        <v>-50</v>
      </c>
      <c r="Y47" s="49">
        <v>21.106999999999999</v>
      </c>
      <c r="Z47" s="49">
        <v>-7</v>
      </c>
      <c r="AA47" s="49">
        <v>4</v>
      </c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>
        <v>16</v>
      </c>
      <c r="AU47" s="65">
        <f t="shared" si="23"/>
        <v>-166.97800000000001</v>
      </c>
      <c r="AV47" s="65">
        <f t="shared" si="24"/>
        <v>-18</v>
      </c>
      <c r="AW47" s="65">
        <f t="shared" si="25"/>
        <v>50.692999999999998</v>
      </c>
      <c r="AX47" s="66">
        <f t="shared" si="26"/>
        <v>-18</v>
      </c>
      <c r="AY47" s="57">
        <f t="shared" si="16"/>
        <v>1306.0259999999998</v>
      </c>
      <c r="AZ47" s="49">
        <f t="shared" si="17"/>
        <v>1320</v>
      </c>
      <c r="BA47" s="49">
        <f t="shared" si="18"/>
        <v>1243.921</v>
      </c>
      <c r="BB47" s="49">
        <f t="shared" si="19"/>
        <v>-448.94681999999995</v>
      </c>
      <c r="BC47" s="49">
        <f t="shared" si="20"/>
        <v>1533.6010000000001</v>
      </c>
      <c r="BD47" s="49"/>
      <c r="BE47" s="49"/>
    </row>
    <row r="48" spans="1:57" x14ac:dyDescent="0.25">
      <c r="B48" s="1"/>
    </row>
    <row r="49" spans="2:2" x14ac:dyDescent="0.25">
      <c r="B49" s="1"/>
    </row>
    <row r="50" spans="2:2" x14ac:dyDescent="0.25">
      <c r="B50" s="1"/>
    </row>
  </sheetData>
  <mergeCells count="8">
    <mergeCell ref="D1:G1"/>
    <mergeCell ref="AU1:AV1"/>
    <mergeCell ref="AW1:AX1"/>
    <mergeCell ref="H1:K1"/>
    <mergeCell ref="L1:O1"/>
    <mergeCell ref="P1:S1"/>
    <mergeCell ref="T1:W1"/>
    <mergeCell ref="X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WTG</vt:lpstr>
      <vt:lpstr>POWER MW</vt:lpstr>
      <vt:lpstr>TRANSFORM</vt:lpstr>
      <vt:lpstr>DIAMETER_BLADE</vt:lpstr>
      <vt:lpstr>PLATFORM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Cerda, Jorge Andres</dc:creator>
  <cp:lastModifiedBy>Cerda, Jorge Andres</cp:lastModifiedBy>
  <dcterms:created xsi:type="dcterms:W3CDTF">2025-10-27T22:20:35Z</dcterms:created>
  <dcterms:modified xsi:type="dcterms:W3CDTF">2026-02-03T16:49:08Z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c7c4d0-7f4d-470f-a7e6-7da20d81509c_Enabled">
    <vt:lpwstr>true</vt:lpwstr>
  </property>
  <property fmtid="{D5CDD505-2E9C-101B-9397-08002B2CF9AE}" pid="3" name="MSIP_Label_97c7c4d0-7f4d-470f-a7e6-7da20d81509c_SetDate">
    <vt:lpwstr>2025-10-28T08:45:20Z</vt:lpwstr>
  </property>
  <property fmtid="{D5CDD505-2E9C-101B-9397-08002B2CF9AE}" pid="4" name="MSIP_Label_97c7c4d0-7f4d-470f-a7e6-7da20d81509c_Method">
    <vt:lpwstr>Standard</vt:lpwstr>
  </property>
  <property fmtid="{D5CDD505-2E9C-101B-9397-08002B2CF9AE}" pid="5" name="MSIP_Label_97c7c4d0-7f4d-470f-a7e6-7da20d81509c_Name">
    <vt:lpwstr>97c7c4d0-7f4d-470f-a7e6-7da20d81509c</vt:lpwstr>
  </property>
  <property fmtid="{D5CDD505-2E9C-101B-9397-08002B2CF9AE}" pid="6" name="MSIP_Label_97c7c4d0-7f4d-470f-a7e6-7da20d81509c_SiteId">
    <vt:lpwstr>040d9c77-e8cc-4af3-9c44-1d24173c45b3</vt:lpwstr>
  </property>
  <property fmtid="{D5CDD505-2E9C-101B-9397-08002B2CF9AE}" pid="7" name="MSIP_Label_97c7c4d0-7f4d-470f-a7e6-7da20d81509c_ActionId">
    <vt:lpwstr>5b09e714-356d-4c62-b250-30be6a11a944</vt:lpwstr>
  </property>
  <property fmtid="{D5CDD505-2E9C-101B-9397-08002B2CF9AE}" pid="8" name="MSIP_Label_97c7c4d0-7f4d-470f-a7e6-7da20d81509c_ContentBits">
    <vt:lpwstr>1</vt:lpwstr>
  </property>
  <property fmtid="{D5CDD505-2E9C-101B-9397-08002B2CF9AE}" pid="9" name="MSIP_Label_97c7c4d0-7f4d-470f-a7e6-7da20d81509c_Tag">
    <vt:lpwstr>10, 3, 0, 1</vt:lpwstr>
  </property>
</Properties>
</file>